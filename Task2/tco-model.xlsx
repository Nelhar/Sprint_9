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Users\Эд\Desktop\arch-edu\S9_Final\Task2\"/>
    </mc:Choice>
  </mc:AlternateContent>
  <xr:revisionPtr revIDLastSave="0" documentId="13_ncr:1_{8CCFE09A-4606-4DB8-AF91-07674A0D48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Инструкция" sheetId="1" r:id="rId1"/>
    <sheet name="Допущения" sheetId="2" r:id="rId2"/>
    <sheet name="TCO A — модульный монолит" sheetId="3" r:id="rId3"/>
    <sheet name="TCO B — сервисы (SOA)" sheetId="4" r:id="rId4"/>
    <sheet name="TCO C — микросервисы CTO" sheetId="5" r:id="rId5"/>
    <sheet name="Сравнение" sheetId="6" r:id="rId6"/>
    <sheet name="Стоимость ошибки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7" l="1"/>
  <c r="E10" i="7"/>
  <c r="E11" i="7" s="1"/>
  <c r="D10" i="7"/>
  <c r="D11" i="7" s="1"/>
  <c r="C10" i="7"/>
  <c r="I55" i="5"/>
  <c r="H55" i="5"/>
  <c r="G55" i="5"/>
  <c r="F55" i="5"/>
  <c r="E55" i="5"/>
  <c r="J47" i="5"/>
  <c r="J46" i="5"/>
  <c r="J45" i="5"/>
  <c r="G44" i="5"/>
  <c r="G48" i="5" s="1"/>
  <c r="F44" i="5"/>
  <c r="F48" i="5" s="1"/>
  <c r="E44" i="5"/>
  <c r="E48" i="5" s="1"/>
  <c r="J43" i="5"/>
  <c r="E40" i="5"/>
  <c r="I39" i="5"/>
  <c r="H39" i="5"/>
  <c r="G39" i="5"/>
  <c r="F39" i="5"/>
  <c r="E39" i="5"/>
  <c r="E38" i="5"/>
  <c r="J37" i="5"/>
  <c r="E36" i="5"/>
  <c r="D36" i="5"/>
  <c r="E35" i="5"/>
  <c r="D35" i="5"/>
  <c r="E23" i="5"/>
  <c r="G22" i="5"/>
  <c r="F22" i="5"/>
  <c r="E22" i="5"/>
  <c r="G21" i="5"/>
  <c r="F21" i="5"/>
  <c r="E21" i="5"/>
  <c r="E19" i="5"/>
  <c r="F13" i="5"/>
  <c r="E13" i="5"/>
  <c r="I55" i="4"/>
  <c r="H55" i="4"/>
  <c r="G55" i="4"/>
  <c r="F55" i="4"/>
  <c r="E55" i="4"/>
  <c r="I47" i="4"/>
  <c r="H47" i="4"/>
  <c r="G47" i="4"/>
  <c r="F47" i="4"/>
  <c r="E47" i="4"/>
  <c r="J46" i="4"/>
  <c r="J45" i="4"/>
  <c r="E44" i="4"/>
  <c r="E48" i="4" s="1"/>
  <c r="J43" i="4"/>
  <c r="I39" i="4"/>
  <c r="H39" i="4"/>
  <c r="G39" i="4"/>
  <c r="F39" i="4"/>
  <c r="E39" i="4"/>
  <c r="E38" i="4"/>
  <c r="J37" i="4"/>
  <c r="E36" i="4"/>
  <c r="D36" i="4"/>
  <c r="F35" i="4"/>
  <c r="E35" i="4"/>
  <c r="D35" i="4"/>
  <c r="H30" i="4"/>
  <c r="I29" i="4"/>
  <c r="E23" i="4"/>
  <c r="F22" i="4"/>
  <c r="E22" i="4"/>
  <c r="G21" i="4"/>
  <c r="F21" i="4"/>
  <c r="E21" i="4"/>
  <c r="F19" i="4"/>
  <c r="E19" i="4"/>
  <c r="J12" i="4"/>
  <c r="I11" i="4"/>
  <c r="H11" i="4"/>
  <c r="I55" i="3"/>
  <c r="H55" i="3"/>
  <c r="G55" i="3"/>
  <c r="F55" i="3"/>
  <c r="E55" i="3"/>
  <c r="I53" i="3"/>
  <c r="I47" i="3"/>
  <c r="H47" i="3"/>
  <c r="G47" i="3"/>
  <c r="F47" i="3"/>
  <c r="E47" i="3"/>
  <c r="J46" i="3"/>
  <c r="J45" i="3"/>
  <c r="E44" i="3"/>
  <c r="J43" i="3"/>
  <c r="I39" i="3"/>
  <c r="H39" i="3"/>
  <c r="G39" i="3"/>
  <c r="F39" i="3"/>
  <c r="E39" i="3"/>
  <c r="F38" i="3"/>
  <c r="E38" i="3"/>
  <c r="J37" i="3"/>
  <c r="E36" i="3"/>
  <c r="D36" i="3"/>
  <c r="E35" i="3"/>
  <c r="D35" i="3"/>
  <c r="I31" i="3"/>
  <c r="H31" i="3"/>
  <c r="I30" i="3"/>
  <c r="E23" i="3"/>
  <c r="G22" i="3"/>
  <c r="F22" i="3"/>
  <c r="E22" i="3"/>
  <c r="F21" i="3"/>
  <c r="E21" i="3"/>
  <c r="F19" i="3"/>
  <c r="E19" i="3"/>
  <c r="I13" i="3"/>
  <c r="J12" i="3"/>
  <c r="J11" i="3"/>
  <c r="F38" i="2"/>
  <c r="H53" i="5" s="1"/>
  <c r="F36" i="2"/>
  <c r="E36" i="2"/>
  <c r="E38" i="2" s="1"/>
  <c r="C36" i="2"/>
  <c r="C38" i="2" s="1"/>
  <c r="G29" i="2"/>
  <c r="I29" i="3" s="1"/>
  <c r="F29" i="2"/>
  <c r="H31" i="5" s="1"/>
  <c r="E29" i="2"/>
  <c r="G29" i="4" s="1"/>
  <c r="D29" i="2"/>
  <c r="F30" i="4" s="1"/>
  <c r="C29" i="2"/>
  <c r="E29" i="3" s="1"/>
  <c r="G28" i="2"/>
  <c r="I10" i="5" s="1"/>
  <c r="F28" i="2"/>
  <c r="H14" i="5" s="1"/>
  <c r="E28" i="2"/>
  <c r="G8" i="4" s="1"/>
  <c r="D28" i="2"/>
  <c r="F10" i="5" s="1"/>
  <c r="C28" i="2"/>
  <c r="E18" i="5" s="1"/>
  <c r="D27" i="2"/>
  <c r="F36" i="5" s="1"/>
  <c r="E26" i="2"/>
  <c r="G19" i="4" s="1"/>
  <c r="D26" i="2"/>
  <c r="F44" i="4" s="1"/>
  <c r="G10" i="2"/>
  <c r="G36" i="2" s="1"/>
  <c r="G38" i="2" s="1"/>
  <c r="F10" i="2"/>
  <c r="E10" i="2"/>
  <c r="D10" i="2"/>
  <c r="C10" i="2"/>
  <c r="H14" i="3" l="1"/>
  <c r="J47" i="3"/>
  <c r="H20" i="3"/>
  <c r="I12" i="5"/>
  <c r="G7" i="3"/>
  <c r="I20" i="3"/>
  <c r="I7" i="3"/>
  <c r="I8" i="3"/>
  <c r="F23" i="3"/>
  <c r="J39" i="3"/>
  <c r="G22" i="4"/>
  <c r="I18" i="5"/>
  <c r="I14" i="3"/>
  <c r="H13" i="4"/>
  <c r="H53" i="3"/>
  <c r="I9" i="5"/>
  <c r="H9" i="3"/>
  <c r="G23" i="3"/>
  <c r="I7" i="4"/>
  <c r="F38" i="5"/>
  <c r="E40" i="4"/>
  <c r="I9" i="3"/>
  <c r="G28" i="3"/>
  <c r="H8" i="4"/>
  <c r="G23" i="4"/>
  <c r="G44" i="4"/>
  <c r="G48" i="4" s="1"/>
  <c r="F19" i="5"/>
  <c r="I29" i="5"/>
  <c r="H30" i="5"/>
  <c r="E27" i="2"/>
  <c r="G36" i="3" s="1"/>
  <c r="H10" i="3"/>
  <c r="H28" i="3"/>
  <c r="F44" i="3"/>
  <c r="F48" i="3" s="1"/>
  <c r="I8" i="4"/>
  <c r="H28" i="4"/>
  <c r="G19" i="5"/>
  <c r="I13" i="4"/>
  <c r="H18" i="4"/>
  <c r="H9" i="5"/>
  <c r="I10" i="3"/>
  <c r="G44" i="3"/>
  <c r="G48" i="3" s="1"/>
  <c r="I9" i="4"/>
  <c r="I20" i="5"/>
  <c r="J39" i="5"/>
  <c r="I18" i="4"/>
  <c r="I30" i="5"/>
  <c r="J39" i="4"/>
  <c r="F29" i="3"/>
  <c r="I10" i="4"/>
  <c r="H29" i="4"/>
  <c r="J47" i="4"/>
  <c r="G53" i="5"/>
  <c r="G53" i="4"/>
  <c r="G53" i="3"/>
  <c r="E53" i="4"/>
  <c r="E53" i="5"/>
  <c r="E53" i="3"/>
  <c r="E24" i="5"/>
  <c r="J18" i="5"/>
  <c r="J29" i="3"/>
  <c r="G7" i="4"/>
  <c r="G14" i="5"/>
  <c r="G7" i="5"/>
  <c r="G9" i="4"/>
  <c r="G20" i="3"/>
  <c r="G18" i="5"/>
  <c r="G11" i="4"/>
  <c r="G14" i="3"/>
  <c r="G9" i="3"/>
  <c r="G12" i="5"/>
  <c r="G20" i="4"/>
  <c r="G20" i="5"/>
  <c r="G8" i="5"/>
  <c r="G8" i="3"/>
  <c r="G10" i="4"/>
  <c r="G13" i="3"/>
  <c r="G11" i="5"/>
  <c r="G14" i="4"/>
  <c r="G18" i="3"/>
  <c r="G24" i="3" s="1"/>
  <c r="E30" i="3"/>
  <c r="E28" i="5"/>
  <c r="E31" i="4"/>
  <c r="E31" i="5"/>
  <c r="E30" i="4"/>
  <c r="E30" i="5"/>
  <c r="E28" i="3"/>
  <c r="E29" i="4"/>
  <c r="E31" i="3"/>
  <c r="E29" i="5"/>
  <c r="E28" i="4"/>
  <c r="E10" i="4"/>
  <c r="E13" i="3"/>
  <c r="E8" i="3"/>
  <c r="E14" i="4"/>
  <c r="E14" i="5"/>
  <c r="E10" i="5"/>
  <c r="E13" i="4"/>
  <c r="E18" i="4"/>
  <c r="E10" i="3"/>
  <c r="J10" i="3" s="1"/>
  <c r="E8" i="4"/>
  <c r="E9" i="5"/>
  <c r="E11" i="4"/>
  <c r="E12" i="5"/>
  <c r="E20" i="4"/>
  <c r="E20" i="5"/>
  <c r="E7" i="4"/>
  <c r="E8" i="5"/>
  <c r="E11" i="5"/>
  <c r="E18" i="3"/>
  <c r="F8" i="4"/>
  <c r="G29" i="3"/>
  <c r="G30" i="5"/>
  <c r="G31" i="3"/>
  <c r="G29" i="5"/>
  <c r="G28" i="4"/>
  <c r="G30" i="3"/>
  <c r="G28" i="5"/>
  <c r="G31" i="4"/>
  <c r="G31" i="5"/>
  <c r="E9" i="3"/>
  <c r="E20" i="3"/>
  <c r="E9" i="4"/>
  <c r="G30" i="2"/>
  <c r="C30" i="2"/>
  <c r="G30" i="4"/>
  <c r="E48" i="3"/>
  <c r="E7" i="5"/>
  <c r="F13" i="4"/>
  <c r="G13" i="4"/>
  <c r="G35" i="4"/>
  <c r="G18" i="4"/>
  <c r="G24" i="4" s="1"/>
  <c r="G10" i="3"/>
  <c r="D30" i="2"/>
  <c r="E14" i="3"/>
  <c r="F48" i="4"/>
  <c r="E7" i="3"/>
  <c r="G36" i="5"/>
  <c r="G35" i="5"/>
  <c r="G38" i="5"/>
  <c r="F11" i="5"/>
  <c r="F14" i="4"/>
  <c r="F18" i="3"/>
  <c r="F7" i="5"/>
  <c r="F18" i="4"/>
  <c r="F10" i="3"/>
  <c r="F20" i="3"/>
  <c r="F18" i="5"/>
  <c r="F9" i="5"/>
  <c r="F11" i="4"/>
  <c r="F14" i="3"/>
  <c r="F9" i="3"/>
  <c r="F12" i="5"/>
  <c r="F20" i="4"/>
  <c r="F20" i="5"/>
  <c r="F7" i="4"/>
  <c r="F8" i="5"/>
  <c r="F14" i="5"/>
  <c r="F10" i="4"/>
  <c r="F13" i="3"/>
  <c r="F8" i="3"/>
  <c r="F28" i="5"/>
  <c r="F31" i="4"/>
  <c r="F31" i="5"/>
  <c r="F30" i="5"/>
  <c r="F29" i="4"/>
  <c r="F31" i="3"/>
  <c r="F29" i="5"/>
  <c r="F28" i="4"/>
  <c r="F30" i="3"/>
  <c r="F9" i="4"/>
  <c r="E30" i="2"/>
  <c r="F30" i="2"/>
  <c r="I53" i="5"/>
  <c r="I53" i="4"/>
  <c r="G9" i="5"/>
  <c r="F7" i="3"/>
  <c r="F28" i="3"/>
  <c r="E40" i="3"/>
  <c r="G10" i="5"/>
  <c r="H10" i="5"/>
  <c r="I7" i="5"/>
  <c r="F35" i="3"/>
  <c r="F36" i="4"/>
  <c r="I14" i="5"/>
  <c r="F23" i="5"/>
  <c r="I31" i="5"/>
  <c r="H18" i="3"/>
  <c r="H14" i="4"/>
  <c r="H31" i="4"/>
  <c r="H11" i="5"/>
  <c r="G23" i="5"/>
  <c r="H28" i="5"/>
  <c r="F26" i="2"/>
  <c r="H8" i="3"/>
  <c r="H13" i="3"/>
  <c r="I18" i="3"/>
  <c r="H30" i="3"/>
  <c r="H10" i="4"/>
  <c r="I14" i="4"/>
  <c r="F23" i="4"/>
  <c r="I31" i="4"/>
  <c r="H53" i="4"/>
  <c r="I11" i="5"/>
  <c r="I28" i="5"/>
  <c r="H8" i="5"/>
  <c r="D36" i="2"/>
  <c r="D38" i="2" s="1"/>
  <c r="H7" i="4"/>
  <c r="I28" i="4"/>
  <c r="I8" i="5"/>
  <c r="H20" i="5"/>
  <c r="G19" i="3"/>
  <c r="H20" i="4"/>
  <c r="F36" i="3"/>
  <c r="I20" i="4"/>
  <c r="F38" i="4"/>
  <c r="H12" i="5"/>
  <c r="H29" i="5"/>
  <c r="F35" i="5"/>
  <c r="I28" i="3"/>
  <c r="G13" i="5"/>
  <c r="H18" i="5"/>
  <c r="H7" i="3"/>
  <c r="H29" i="3"/>
  <c r="H9" i="4"/>
  <c r="I30" i="4"/>
  <c r="H7" i="5"/>
  <c r="G21" i="3"/>
  <c r="I15" i="3" l="1"/>
  <c r="F24" i="3"/>
  <c r="I15" i="4"/>
  <c r="G38" i="3"/>
  <c r="G15" i="3"/>
  <c r="G35" i="3"/>
  <c r="G40" i="3" s="1"/>
  <c r="J31" i="4"/>
  <c r="G36" i="4"/>
  <c r="J20" i="3"/>
  <c r="J9" i="5"/>
  <c r="G38" i="4"/>
  <c r="F15" i="3"/>
  <c r="F27" i="2"/>
  <c r="H38" i="5" s="1"/>
  <c r="J9" i="3"/>
  <c r="J8" i="4"/>
  <c r="J28" i="5"/>
  <c r="G40" i="4"/>
  <c r="J30" i="3"/>
  <c r="H38" i="3"/>
  <c r="H35" i="5"/>
  <c r="H21" i="3"/>
  <c r="H22" i="4"/>
  <c r="H22" i="5"/>
  <c r="H44" i="3"/>
  <c r="H21" i="4"/>
  <c r="H23" i="3"/>
  <c r="H21" i="5"/>
  <c r="H44" i="5"/>
  <c r="H19" i="3"/>
  <c r="H24" i="3" s="1"/>
  <c r="H23" i="4"/>
  <c r="H23" i="5"/>
  <c r="H19" i="4"/>
  <c r="H19" i="5"/>
  <c r="G26" i="2"/>
  <c r="H13" i="5"/>
  <c r="H22" i="3"/>
  <c r="H44" i="4"/>
  <c r="J14" i="4"/>
  <c r="G40" i="5"/>
  <c r="J8" i="3"/>
  <c r="J7" i="5"/>
  <c r="E15" i="5"/>
  <c r="H27" i="5"/>
  <c r="H32" i="5" s="1"/>
  <c r="H27" i="3"/>
  <c r="H32" i="3" s="1"/>
  <c r="H27" i="4"/>
  <c r="H32" i="4" s="1"/>
  <c r="J10" i="5"/>
  <c r="H15" i="4"/>
  <c r="J8" i="5"/>
  <c r="J18" i="4"/>
  <c r="E24" i="4"/>
  <c r="J7" i="3"/>
  <c r="E15" i="3"/>
  <c r="J18" i="3"/>
  <c r="E24" i="3"/>
  <c r="F24" i="5"/>
  <c r="F27" i="3"/>
  <c r="F32" i="3" s="1"/>
  <c r="F27" i="4"/>
  <c r="F32" i="4" s="1"/>
  <c r="F27" i="5"/>
  <c r="F32" i="5" s="1"/>
  <c r="I27" i="5"/>
  <c r="I32" i="5" s="1"/>
  <c r="I27" i="3"/>
  <c r="I32" i="3" s="1"/>
  <c r="I27" i="4"/>
  <c r="I32" i="4" s="1"/>
  <c r="J7" i="4"/>
  <c r="E15" i="4"/>
  <c r="J29" i="4"/>
  <c r="F15" i="4"/>
  <c r="J10" i="4"/>
  <c r="G27" i="4"/>
  <c r="G32" i="4" s="1"/>
  <c r="G27" i="3"/>
  <c r="G32" i="3" s="1"/>
  <c r="G50" i="3" s="1"/>
  <c r="G27" i="5"/>
  <c r="G32" i="5" s="1"/>
  <c r="J28" i="4"/>
  <c r="E27" i="5"/>
  <c r="E27" i="3"/>
  <c r="E27" i="4"/>
  <c r="J20" i="5"/>
  <c r="J28" i="3"/>
  <c r="G24" i="5"/>
  <c r="F53" i="5"/>
  <c r="J53" i="5" s="1"/>
  <c r="F53" i="3"/>
  <c r="J53" i="3" s="1"/>
  <c r="F53" i="4"/>
  <c r="J53" i="4" s="1"/>
  <c r="J31" i="3"/>
  <c r="J9" i="4"/>
  <c r="J20" i="4"/>
  <c r="J30" i="5"/>
  <c r="J13" i="4"/>
  <c r="J13" i="3"/>
  <c r="F40" i="4"/>
  <c r="J11" i="5"/>
  <c r="J29" i="5"/>
  <c r="J14" i="3"/>
  <c r="H15" i="3"/>
  <c r="F40" i="3"/>
  <c r="F24" i="4"/>
  <c r="J12" i="5"/>
  <c r="J30" i="4"/>
  <c r="F40" i="5"/>
  <c r="G15" i="4"/>
  <c r="J14" i="5"/>
  <c r="F15" i="5"/>
  <c r="J11" i="4"/>
  <c r="J31" i="5"/>
  <c r="G15" i="5"/>
  <c r="F51" i="3" l="1"/>
  <c r="F54" i="3" s="1"/>
  <c r="F56" i="3" s="1"/>
  <c r="H35" i="4"/>
  <c r="F50" i="3"/>
  <c r="H36" i="5"/>
  <c r="H38" i="4"/>
  <c r="H35" i="3"/>
  <c r="H36" i="4"/>
  <c r="H40" i="4" s="1"/>
  <c r="H36" i="3"/>
  <c r="G27" i="2"/>
  <c r="I38" i="4" s="1"/>
  <c r="J38" i="4" s="1"/>
  <c r="J23" i="5"/>
  <c r="H48" i="4"/>
  <c r="G50" i="5"/>
  <c r="G51" i="5" s="1"/>
  <c r="G54" i="5" s="1"/>
  <c r="G56" i="5" s="1"/>
  <c r="F50" i="5"/>
  <c r="F51" i="5" s="1"/>
  <c r="F54" i="5" s="1"/>
  <c r="F56" i="5" s="1"/>
  <c r="G50" i="4"/>
  <c r="G51" i="4" s="1"/>
  <c r="G54" i="4" s="1"/>
  <c r="G56" i="4" s="1"/>
  <c r="H40" i="3"/>
  <c r="I19" i="5"/>
  <c r="I24" i="5" s="1"/>
  <c r="I22" i="4"/>
  <c r="J22" i="4" s="1"/>
  <c r="I23" i="3"/>
  <c r="J23" i="3" s="1"/>
  <c r="I21" i="5"/>
  <c r="I44" i="4"/>
  <c r="I48" i="4" s="1"/>
  <c r="I44" i="5"/>
  <c r="I48" i="5" s="1"/>
  <c r="I22" i="3"/>
  <c r="J22" i="3" s="1"/>
  <c r="I23" i="4"/>
  <c r="J23" i="4" s="1"/>
  <c r="I23" i="5"/>
  <c r="I44" i="3"/>
  <c r="I48" i="3" s="1"/>
  <c r="I19" i="4"/>
  <c r="I21" i="3"/>
  <c r="J21" i="3" s="1"/>
  <c r="I22" i="5"/>
  <c r="J22" i="5" s="1"/>
  <c r="I21" i="4"/>
  <c r="J21" i="4" s="1"/>
  <c r="I13" i="5"/>
  <c r="I15" i="5" s="1"/>
  <c r="I19" i="3"/>
  <c r="J19" i="3" s="1"/>
  <c r="J15" i="3"/>
  <c r="F50" i="4"/>
  <c r="F51" i="4"/>
  <c r="F54" i="4" s="1"/>
  <c r="F56" i="4" s="1"/>
  <c r="J13" i="5"/>
  <c r="J15" i="5" s="1"/>
  <c r="I35" i="4"/>
  <c r="I35" i="5"/>
  <c r="H15" i="5"/>
  <c r="J19" i="4"/>
  <c r="H24" i="4"/>
  <c r="H50" i="4" s="1"/>
  <c r="H51" i="4" s="1"/>
  <c r="H54" i="4" s="1"/>
  <c r="H56" i="4" s="1"/>
  <c r="H48" i="5"/>
  <c r="J44" i="5"/>
  <c r="J48" i="5" s="1"/>
  <c r="J21" i="5"/>
  <c r="E63" i="5"/>
  <c r="E9" i="6" s="1"/>
  <c r="E64" i="5"/>
  <c r="E10" i="6" s="1"/>
  <c r="E50" i="5"/>
  <c r="E51" i="5" s="1"/>
  <c r="J27" i="5"/>
  <c r="J32" i="5" s="1"/>
  <c r="E32" i="5"/>
  <c r="E63" i="3"/>
  <c r="C9" i="6" s="1"/>
  <c r="E64" i="3"/>
  <c r="C10" i="6" s="1"/>
  <c r="E64" i="4"/>
  <c r="D10" i="6" s="1"/>
  <c r="E63" i="4"/>
  <c r="D9" i="6" s="1"/>
  <c r="H40" i="5"/>
  <c r="J27" i="4"/>
  <c r="J32" i="4" s="1"/>
  <c r="E32" i="4"/>
  <c r="G51" i="3"/>
  <c r="G54" i="3" s="1"/>
  <c r="G56" i="3" s="1"/>
  <c r="J15" i="4"/>
  <c r="H24" i="5"/>
  <c r="E32" i="3"/>
  <c r="J27" i="3"/>
  <c r="J32" i="3" s="1"/>
  <c r="H48" i="3"/>
  <c r="J44" i="3"/>
  <c r="J48" i="3" s="1"/>
  <c r="I38" i="5" l="1"/>
  <c r="J38" i="5" s="1"/>
  <c r="I35" i="3"/>
  <c r="J35" i="3" s="1"/>
  <c r="J35" i="4"/>
  <c r="I36" i="3"/>
  <c r="J36" i="3" s="1"/>
  <c r="I38" i="3"/>
  <c r="J38" i="3" s="1"/>
  <c r="H50" i="3"/>
  <c r="I36" i="5"/>
  <c r="J36" i="5" s="1"/>
  <c r="I36" i="4"/>
  <c r="J36" i="4" s="1"/>
  <c r="J24" i="4"/>
  <c r="E54" i="5"/>
  <c r="J24" i="3"/>
  <c r="E50" i="4"/>
  <c r="E51" i="4" s="1"/>
  <c r="J40" i="4"/>
  <c r="E50" i="3"/>
  <c r="I24" i="3"/>
  <c r="H50" i="5"/>
  <c r="H51" i="5" s="1"/>
  <c r="J40" i="3"/>
  <c r="C6" i="6" s="1"/>
  <c r="H51" i="3"/>
  <c r="H54" i="3" s="1"/>
  <c r="H56" i="3" s="1"/>
  <c r="I24" i="4"/>
  <c r="J19" i="5"/>
  <c r="J24" i="5" s="1"/>
  <c r="J44" i="4"/>
  <c r="J48" i="4" s="1"/>
  <c r="J35" i="5"/>
  <c r="J40" i="5" l="1"/>
  <c r="E6" i="6" s="1"/>
  <c r="I40" i="5"/>
  <c r="I40" i="3"/>
  <c r="I40" i="4"/>
  <c r="H54" i="5"/>
  <c r="H56" i="5" s="1"/>
  <c r="E54" i="4"/>
  <c r="I50" i="3"/>
  <c r="I51" i="3" s="1"/>
  <c r="E56" i="5"/>
  <c r="D6" i="6"/>
  <c r="E51" i="3"/>
  <c r="I50" i="4"/>
  <c r="J50" i="4" s="1"/>
  <c r="I51" i="4" l="1"/>
  <c r="J51" i="4" s="1"/>
  <c r="I50" i="5"/>
  <c r="J50" i="5" s="1"/>
  <c r="E67" i="4"/>
  <c r="D13" i="6" s="1"/>
  <c r="D5" i="6"/>
  <c r="E62" i="4"/>
  <c r="E59" i="4"/>
  <c r="E65" i="4"/>
  <c r="D12" i="6" s="1"/>
  <c r="K32" i="4"/>
  <c r="E68" i="4"/>
  <c r="E69" i="4"/>
  <c r="K15" i="4"/>
  <c r="E70" i="4"/>
  <c r="D11" i="6" s="1"/>
  <c r="K24" i="4"/>
  <c r="K48" i="4"/>
  <c r="K40" i="4"/>
  <c r="E66" i="3"/>
  <c r="I54" i="3"/>
  <c r="I56" i="3" s="1"/>
  <c r="E54" i="3"/>
  <c r="J51" i="3"/>
  <c r="J50" i="3"/>
  <c r="E56" i="4"/>
  <c r="E66" i="4"/>
  <c r="I54" i="4"/>
  <c r="I56" i="4" s="1"/>
  <c r="I51" i="5" l="1"/>
  <c r="J56" i="4"/>
  <c r="D8" i="6" s="1"/>
  <c r="E61" i="4"/>
  <c r="E67" i="3"/>
  <c r="C13" i="6" s="1"/>
  <c r="E62" i="3"/>
  <c r="C5" i="6"/>
  <c r="E65" i="3"/>
  <c r="C12" i="6" s="1"/>
  <c r="E59" i="3"/>
  <c r="K32" i="3"/>
  <c r="K48" i="3"/>
  <c r="E68" i="3"/>
  <c r="E69" i="3"/>
  <c r="K15" i="3"/>
  <c r="K40" i="3"/>
  <c r="K24" i="3"/>
  <c r="E70" i="3"/>
  <c r="C11" i="6" s="1"/>
  <c r="J54" i="3"/>
  <c r="E56" i="3"/>
  <c r="J56" i="3" s="1"/>
  <c r="J54" i="4"/>
  <c r="I54" i="5" l="1"/>
  <c r="E66" i="5"/>
  <c r="J51" i="5"/>
  <c r="D7" i="6"/>
  <c r="E60" i="4"/>
  <c r="C7" i="6"/>
  <c r="E60" i="3"/>
  <c r="C8" i="6"/>
  <c r="E61" i="3"/>
  <c r="K40" i="5" l="1"/>
  <c r="E70" i="5"/>
  <c r="E11" i="6" s="1"/>
  <c r="K24" i="5"/>
  <c r="E59" i="5"/>
  <c r="K15" i="5"/>
  <c r="K48" i="5"/>
  <c r="E62" i="5"/>
  <c r="E67" i="5"/>
  <c r="E13" i="6" s="1"/>
  <c r="E69" i="5"/>
  <c r="K32" i="5"/>
  <c r="E5" i="6"/>
  <c r="E65" i="5"/>
  <c r="E12" i="6" s="1"/>
  <c r="E68" i="5"/>
  <c r="I56" i="5"/>
  <c r="J56" i="5" s="1"/>
  <c r="J54" i="5"/>
  <c r="E8" i="6" l="1"/>
  <c r="E61" i="5"/>
  <c r="E7" i="6"/>
  <c r="E60" i="5"/>
</calcChain>
</file>

<file path=xl/sharedStrings.xml><?xml version="1.0" encoding="utf-8"?>
<sst xmlns="http://schemas.openxmlformats.org/spreadsheetml/2006/main" count="664" uniqueCount="353">
  <si>
    <t>Модель TCO (Total Cost of Ownership) — кейс «Africa Delivery», горизонт 5 лет</t>
  </si>
  <si>
    <t>Зачем этот файл</t>
  </si>
  <si>
    <t>Задача</t>
  </si>
  <si>
    <t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</si>
  <si>
    <t>Как использовать</t>
  </si>
  <si>
    <t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</si>
  <si>
    <t>Цветовая легенда</t>
  </si>
  <si>
    <t>Синий текст на жёлтом фоне</t>
  </si>
  <si>
    <t>Ячейки для заполнения. Только их и редактируем.</t>
  </si>
  <si>
    <t>Чёрный текст</t>
  </si>
  <si>
    <t>Формулы. Не трогаем — пересчитаются сами.</t>
  </si>
  <si>
    <t>Зелёный текст</t>
  </si>
  <si>
    <t>Ссылка на лист «Допущения».</t>
  </si>
  <si>
    <t>Порядок работы</t>
  </si>
  <si>
    <t>Шаг 1</t>
  </si>
  <si>
    <t>Лист «Допущения» → блок 1: вбить драйверы бизнеса по годам (активные пользователи, число заказов, средний чек). Из них считается GMV.</t>
  </si>
  <si>
    <t>Шаг 2</t>
  </si>
  <si>
    <t>Лист «Допущения» → блок 2: финансовые допущения (инфляция, рост ФОТ, ставка дисконтирования, резерв, целевой SLO).</t>
  </si>
  <si>
    <t>Шаг 3</t>
  </si>
  <si>
    <t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</si>
  <si>
    <t>Шаг 4</t>
  </si>
  <si>
    <t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</si>
  <si>
    <t>Шаг 5</t>
  </si>
  <si>
    <t>Посмотреть блок «Ключевые метрики» внизу листа TCO: итог за 5 лет, NPV, стоимость на заказ, проверку бюджета CFO ($5k/мес на облако и SaaS — исправлено с $9k шаблона).</t>
  </si>
  <si>
    <t>Что важно не забыть в этом кейсе</t>
  </si>
  <si>
    <t>Бюджет CFO</t>
  </si>
  <si>
    <t>$5 000/мес на облако и SaaS — жёсткий потолок первые 6 месяцев (A6 п.1). $9 000 — цифра из презентации для борда, разработке недоступна. Если Год 1 не проходит — это архитектурное решение: опиши, что урезаешь.</t>
  </si>
  <si>
    <t>Цена простоя</t>
  </si>
  <si>
    <t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t>
  </si>
  <si>
    <t>Транзакционные расходы</t>
  </si>
  <si>
    <t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</si>
  <si>
    <t>Сравнение вариантов</t>
  </si>
  <si>
    <t>Транзакционные расходы (блок 3) почти одинаковы для любой архитектуры — это pass-through от оборота. Варианты архитектуры сравнивай по блокам 1, 2, 4 и 6.</t>
  </si>
  <si>
    <t>Разовые затраты</t>
  </si>
  <si>
    <t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</si>
  <si>
    <t>Люди</t>
  </si>
  <si>
    <t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</si>
  <si>
    <t>Все числа в файле — примеры для демонстрации формата. Замени их своими оценками и укажи источник в колонке «Комментарий / источник».</t>
  </si>
  <si>
    <t>Изменения относительно шаблона (Africa Delivery, Task2):</t>
  </si>
  <si>
    <t>1. Лимит CFO исправлен с $9 000 на $5 000 (A6 п.1); проверка лимита учитывает облако + SaaS (E63/E64).</t>
  </si>
  <si>
    <t>2. Три копии листа TCO — по одной на вариант A, B, C; численность FTE — колонки N–R, ФОТ = FTE × ставка × индекс.</t>
  </si>
  <si>
    <t>3. Блок 6: SLO и цена минуты простоя — по годам (лист «Допущения», стр. 35–41), переключатель режима 1/2.</t>
  </si>
  <si>
    <t>4. Синие числа в годовых ячейках — ручные значения (разовые статьи, лестница SLO/DR, дежурства).</t>
  </si>
  <si>
    <t>5. Листы «Сравнение» и «Стоимость ошибки» — две цифры для CFO: стоимость заказа и цена ошибки.</t>
  </si>
  <si>
    <t>Допущения модели TCO — Africa Delivery</t>
  </si>
  <si>
    <t>Заполняются только ячейки с жёлтой заливкой. Все числа ниже — пример, заменить своими.</t>
  </si>
  <si>
    <t>1. Драйверы бизнеса — заполнить</t>
  </si>
  <si>
    <t>Показатель</t>
  </si>
  <si>
    <t>Год 1</t>
  </si>
  <si>
    <t>Год 2</t>
  </si>
  <si>
    <t>Год 3</t>
  </si>
  <si>
    <t>Год 4</t>
  </si>
  <si>
    <t>Год 5</t>
  </si>
  <si>
    <t>Комментарий / источник</t>
  </si>
  <si>
    <t>Активные пользователи (на конец года)</t>
  </si>
  <si>
    <t>1 млн+ к 12 мес. (У «Цели бизнеса»), 40% рынка за 3 года (A7) — бизнес-план инвестора. Сценарий 50 тыс. — лист «Стоимость ошибки»</t>
  </si>
  <si>
    <t>Число заказов в год</t>
  </si>
  <si>
    <t>≈3–4 заказа на активного пользователя в год; рамп Г1: 25 тыс./мес на запуске → 250 тыс./мес к 12-му месяцу</t>
  </si>
  <si>
    <t>Средний чек (AOV), $</t>
  </si>
  <si>
    <t>Ставка на низкую цену (У). Jumia ≈ $40 GMV/заказ — мы ниже</t>
  </si>
  <si>
    <t>GMV, $ в год (расчёт)</t>
  </si>
  <si>
    <t>Расчёт: заказы × средний чек</t>
  </si>
  <si>
    <t>2. Финансовые допущения — заполнить</t>
  </si>
  <si>
    <t>Параметр</t>
  </si>
  <si>
    <t>Значение</t>
  </si>
  <si>
    <t>Инфляция затрат, % в год</t>
  </si>
  <si>
    <t>Контракты в USD (облако, SaaS) — ниже локальной инфляции</t>
  </si>
  <si>
    <t>Рост ФОТ, % в год</t>
  </si>
  <si>
    <t>Дефицит Go/SRE на рынке</t>
  </si>
  <si>
    <t>Ставка дисконтирования, % в год</t>
  </si>
  <si>
    <t>Стартап, runway 9 мес. (A6 п.3) — высокая ставка</t>
  </si>
  <si>
    <t>Резерв на непредвиденное (contingency), %</t>
  </si>
  <si>
    <t>Конус неопределённости</t>
  </si>
  <si>
    <t>Бюджет CFO на облако, $/мес</t>
  </si>
  <si>
    <t>ИСПРАВЛЕНО: $5 000 — жёсткий потолок (A6 п.1). $9 000 из шаблона — цифра борда, разработке недоступна</t>
  </si>
  <si>
    <t>Стоимость минуты простоя, $</t>
  </si>
  <si>
    <t>Оценка инвестора (A1, A7) — пиковая минута распродажи (AS-08)</t>
  </si>
  <si>
    <t>Целевой SLO (доступность), %</t>
  </si>
  <si>
    <t>Не используется: SLO заданы по вариантам и годам в строках 40–42</t>
  </si>
  <si>
    <t>Учитывать стоимость простоя в TCO (1 — да, 0 — нет)</t>
  </si>
  <si>
    <t>Переключатель для сценарного анализа</t>
  </si>
  <si>
    <t>3. Индексы роста — расчёт, не редактировать</t>
  </si>
  <si>
    <t>Драйвер</t>
  </si>
  <si>
    <t>Как считается</t>
  </si>
  <si>
    <t>фикс</t>
  </si>
  <si>
    <t>Затраты не меняются по годам</t>
  </si>
  <si>
    <t>инфляция</t>
  </si>
  <si>
    <t>Год N = Год N-1 × (1 + инфляция)</t>
  </si>
  <si>
    <t>ФОТ</t>
  </si>
  <si>
    <t>Год N = Год N-1 × (1 + рост ФОТ)</t>
  </si>
  <si>
    <t>пользователи</t>
  </si>
  <si>
    <t>Пропорционально числу активных пользователей</t>
  </si>
  <si>
    <t>заказы</t>
  </si>
  <si>
    <t>Пропорционально числу заказов</t>
  </si>
  <si>
    <t>GMV</t>
  </si>
  <si>
    <t>Пропорционально обороту</t>
  </si>
  <si>
    <t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</si>
  <si>
    <t>4. Добавлено: цена простоя, SLO по вариантам и ставки команды — заполнить</t>
  </si>
  <si>
    <t>Коэффициент пика (сбои чаще под нагрузкой)</t>
  </si>
  <si>
    <t>Простой в пик стоит дороже средней минуты</t>
  </si>
  <si>
    <t>Реалистичная цена минуты простоя, $ (GMV / 525 600 × пик)</t>
  </si>
  <si>
    <t>Расчёт от GMV по годам</t>
  </si>
  <si>
    <t>Режим цены простоя: 1 — $12k каждую минуту (инвестор), 2 — от GMV</t>
  </si>
  <si>
    <t>Переключатель сценария (лист «Сравнение» показывает оба)</t>
  </si>
  <si>
    <t>Цена минуты простоя для расчёта, $</t>
  </si>
  <si>
    <t>Используется в блоке 6 всех листов TCO</t>
  </si>
  <si>
    <t>SLO вариант A (лестница SLO по годам)</t>
  </si>
  <si>
    <t>Г1 99,9% → Г2–3 99,95% → Г4–5 99,99% (ADR-001, Task3)</t>
  </si>
  <si>
    <t>SLO вариант B</t>
  </si>
  <si>
    <t>Warm standby с первого дня</t>
  </si>
  <si>
    <t>SLO вариант C</t>
  </si>
  <si>
    <t>Заявлено CTO (A5). Риск: команда без опыта Istio и мультикластера</t>
  </si>
  <si>
    <t>Ставка разработчика (контрактор), $/год</t>
  </si>
  <si>
    <t>≈ $41/ч; рынок Африки $34–54/ч (secondtalent, 2026)</t>
  </si>
  <si>
    <t>Ставка SRE / платформа, $/год</t>
  </si>
  <si>
    <t>Дефицитный профиль</t>
  </si>
  <si>
    <t>TCO на 5 лет — A. Модульный монолит (Go + PostgreSQL), managed, partner-first</t>
  </si>
  <si>
    <t>Заполняем колонки «Драйвер роста» и «База, $/год (Год 1)». Годы 1–5 считаются автоматически.</t>
  </si>
  <si>
    <t>Численность, FTE (среднее за год)</t>
  </si>
  <si>
    <t>Статья затрат</t>
  </si>
  <si>
    <t>Драйвер роста</t>
  </si>
  <si>
    <t>База, $/год (Год 1)</t>
  </si>
  <si>
    <t>Итого 5 лет</t>
  </si>
  <si>
    <t>Доля</t>
  </si>
  <si>
    <t>БЛОК 1. Облачная инфраструктура (OpEx)</t>
  </si>
  <si>
    <t>Compute: ноды / контейнеры / serverless</t>
  </si>
  <si>
    <t>EKS ($73/мес) + 3–4 × m7g.large af-south-1 ($0,108/ч) + всплески</t>
  </si>
  <si>
    <t>Управляемые БД (PostgreSQL, реплики)</t>
  </si>
  <si>
    <t>RDS PostgreSQL Multi-AZ db.m6g.large ($153/мес ×2) + read replica t4g.large для аналитики</t>
  </si>
  <si>
    <t>Хранилище объектов и резервные копии</t>
  </si>
  <si>
    <t>S3 af-south-1, фото товаров (WebP), бэкапы</t>
  </si>
  <si>
    <t>CDN и исходящий трафик</t>
  </si>
  <si>
    <t>CloudFront Африка $0,11/ГБ после 1 ТБ; ~15 МБ/MAU/мес (миниатюры WebP, кеш в приложении)</t>
  </si>
  <si>
    <t>Очереди / стриминг (Kafka, SQS)</t>
  </si>
  <si>
    <t>MVP: outbox в PostgreSQL + SQS, Valkey (кеш). Managed Kafka (MSK) — с Года 2 при выделении сервисов</t>
  </si>
  <si>
    <t>Резервный регион / DR</t>
  </si>
  <si>
    <t>Лестница SLO: Г1 pilot light в GCP africa-south1 (бэкапы + IaC) → Г2–3 warm standby → Г4–5 active-active (99,99%)</t>
  </si>
  <si>
    <t>Локальное размещение данных (NDPR, Нигерия)</t>
  </si>
  <si>
    <t>Ячейка Нигерии в AWS Local Zone Лагос: 2 × m5.xlarge (узлы EKS) + 2 × m5.xlarge PostgreSQL + EBS gp2 + ALB + NAT-инстанс; бэкапы на 2-й площадке в Нигерии (ADR-003)</t>
  </si>
  <si>
    <t>Сеть и окружения dev/stage</t>
  </si>
  <si>
    <t>Сеть и периметр (NAT, ALB, WAF, KMS, DNS) $2 680 + окружения dev/stage и нагрузочный контур ≈ $400/мес (namespaces в общем EKS, малый RDS для stage, всплески теста)</t>
  </si>
  <si>
    <t>Итого по блоку</t>
  </si>
  <si>
    <t>БЛОК 2. Лицензии, SaaS и инструменты</t>
  </si>
  <si>
    <t>Observability (метрики, логи, трейсинг)</t>
  </si>
  <si>
    <t>Grafana Cloud (метрики, логи, трейсы) + OpenTelemetry</t>
  </si>
  <si>
    <t>CI/CD, репозиторий, артефакты</t>
  </si>
  <si>
    <t>GitHub Team + Actions</t>
  </si>
  <si>
    <t>Безопасность: WAF, секреты, антифрод</t>
  </si>
  <si>
    <t>Антифрод PSP (встроен), сканеры зависимостей</t>
  </si>
  <si>
    <t>WhatsApp Business API (подписка)</t>
  </si>
  <si>
    <t>Платформенный сбор BSP WhatsApp</t>
  </si>
  <si>
    <t>Прочее ПО и подписки</t>
  </si>
  <si>
    <t>Трекер, дизайн, Sentry</t>
  </si>
  <si>
    <t>SMS/USSD-агрегатор (подписка)</t>
  </si>
  <si>
    <t>Подписка SMS/USSD-агрегатора (Africa's Talking), push (FCM бесплатно)</t>
  </si>
  <si>
    <t>БЛОК 3. Транзакционные расходы (Buy / Partner)</t>
  </si>
  <si>
    <t>Комиссии платёжных провайдеров</t>
  </si>
  <si>
    <t>1,8% GMV (ADR-004): NG ≈60% GMV — Paystack 1,5% + ₦100 + НДС 7,5% ≈ 1,94% (основной), Flutterwave 2% + НДС ≈ 2,15% (резерв), наличные ≈1,5%; KE ≈40% — M-Pesa Buy Goods 0,55%; выплаты ≈0,1%; резерв на чарджбэки 0,2%. Лимит CFO ≤ 2,5% (A6 п.6)</t>
  </si>
  <si>
    <t>SMS-уведомления</t>
  </si>
  <si>
    <t>≈3 SMS/заказ × $0,005 + OTP: $0,02/заказ (Africa's Talking, KE ≈ KES 0,8)</t>
  </si>
  <si>
    <t>WhatsApp-сообщения (за диалог)</t>
  </si>
  <si>
    <t>2 utility-сообщения продавцу/заказ: Meta $0,004 (KE) – $0,0068 (NG)</t>
  </si>
  <si>
    <t>Логистика: интеграции и комиссии партнёров</t>
  </si>
  <si>
    <t>Доставку оплачивает покупатель (pass-through). Платформа платит обратную доставку по «бесплатному возврату 30 дней» (A2 обещ. 4): 6% × $2,5</t>
  </si>
  <si>
    <t>USSD-сессии и короткие коды</t>
  </si>
  <si>
    <t>USSD-сессии ($0,005) + аренда короткого кода KE</t>
  </si>
  <si>
    <t>БЛОК 4. Команда (ФОТ)</t>
  </si>
  <si>
    <t>Разработка (FTE × годовая ставка)</t>
  </si>
  <si>
    <t>FTE (колонки N–R) × ставка × индекс ФОТ</t>
  </si>
  <si>
    <t>DevOps / SRE</t>
  </si>
  <si>
    <t>FTE (колонки N–R) × ставка SRE × индекс ФОТ</t>
  </si>
  <si>
    <t>Поддержка и дежурства 24/7</t>
  </si>
  <si>
    <t>Дежурства: Г1 — надбавка on-call в команде; далее follow-the-sun</t>
  </si>
  <si>
    <t>Архитектура и менеджмент</t>
  </si>
  <si>
    <t>CTO + Solution Architect (одинаково во всех вариантах)</t>
  </si>
  <si>
    <t>Своя статья</t>
  </si>
  <si>
    <t>БЛОК 5. Разовые затраты и комплаенс</t>
  </si>
  <si>
    <t>Юридический и комплаенс-аудит (NDPR, POPIA, KICA)</t>
  </si>
  <si>
    <t>Регистрация NDPC/ODPC/InfoReg, внешний DPO, ежегодный аудит NDPA (A3 п.1)</t>
  </si>
  <si>
    <t>Пентест и аудит безопасности</t>
  </si>
  <si>
    <t>Ежегодный пентест</t>
  </si>
  <si>
    <t>Миграция данных и интеграции при запуске</t>
  </si>
  <si>
    <t>Онбординг партнёров: PSP, Sendbox, перевозчик KE, D-U-N-S, сторы</t>
  </si>
  <si>
    <t>Обучение команды и найм</t>
  </si>
  <si>
    <t>Найм и обучение (рост команды с января)</t>
  </si>
  <si>
    <t>Резерв на непредвиденное (contingency)</t>
  </si>
  <si>
    <t>Расчёт: сумма блоков 1–5 × ставка резерва с листа «Допущения»</t>
  </si>
  <si>
    <t>ИТОГО прямые затраты (TCO без учёта простоев)</t>
  </si>
  <si>
    <t>БЛОК 6. Стоимость недоступности (риск)</t>
  </si>
  <si>
    <t>Ожидаемые потери от простоя (SLO и цена минуты — по годам, «Допущения» стр. 38–41)</t>
  </si>
  <si>
    <t>(1 − SLO года) × 525 600 мин × цена минуты года × переключатель</t>
  </si>
  <si>
    <t>ИТОГО TCO с учётом стоимости простоя</t>
  </si>
  <si>
    <t>Коэффициент дисконтирования</t>
  </si>
  <si>
    <t>Дисконтированный TCO (NPV затрат)</t>
  </si>
  <si>
    <t>Ключевые метрики</t>
  </si>
  <si>
    <t>TCO за 5 лет, прямые затраты</t>
  </si>
  <si>
    <t>Основная цифра для сравнения вариантов в ADR</t>
  </si>
  <si>
    <t>TCO за 5 лет с учётом простоя</t>
  </si>
  <si>
    <t>Показывает цену недоступности для mission critical</t>
  </si>
  <si>
    <t>NPV затрат за 5 лет</t>
  </si>
  <si>
    <t>Затраты, приведённые к сегодняшнему дню</t>
  </si>
  <si>
    <t>Средние затраты в год</t>
  </si>
  <si>
    <t>Ориентир для планирования бюджета</t>
  </si>
  <si>
    <t>Облако + SaaS, $/мес в Год 1 (A6 п.1: лимит включает SaaS)</t>
  </si>
  <si>
    <t>Сравнивается с лимитом CFO</t>
  </si>
  <si>
    <t>Проверка бюджета CFO на Год 1</t>
  </si>
  <si>
    <t>Если превышение — объясни в ADR, чем жертвуешь</t>
  </si>
  <si>
    <t>TCO на 1 заказ за 5 лет</t>
  </si>
  <si>
    <t>Юнит-экономика: сколько ИТ стоит в одном заказе</t>
  </si>
  <si>
    <t>TCO на 1 активного пользователя (Год 5)</t>
  </si>
  <si>
    <t>Проверка масштабируемости модели</t>
  </si>
  <si>
    <t>Затраты ИТ как доля GMV за 5 лет</t>
  </si>
  <si>
    <t>Здоровый маркетплейс — единицы процентов</t>
  </si>
  <si>
    <t>Доля облачной инфраструктуры в TCO</t>
  </si>
  <si>
    <t>Обычно меньше, чем ожидают студенты</t>
  </si>
  <si>
    <t>Доля транзакционных расходов в TCO</t>
  </si>
  <si>
    <t>Растёт быстрее всего вместе с GMV</t>
  </si>
  <si>
    <t>Доля команды (ФОТ) в TCO</t>
  </si>
  <si>
    <t>Как правило, крупнейшая статья</t>
  </si>
  <si>
    <t>Вывод для ADR (заполнить текстом): какой вариант дешевле, за счёт чего, и какие допущения сильнее всего влияют на результат?</t>
  </si>
  <si>
    <t>Самый дешёвый: на 3–4 FTE меньше B и на 10–12 FTE меньше C, без лицензий, облако+SaaS ≈ $4.3k/мес &lt; $5k. Плата — больше простоя на старте (99,9%), но цена минуты в Г1 ≈ $190, а не $12k. SLO растёт по лестнице вместе с GMV. Сильнее всего результат зависит от численности команды и цены минуты простоя.</t>
  </si>
  <si>
    <t>TCO на 5 лет — B. 7 доменных сервисов, managed K8s + managed Kafka, БД на сервис</t>
  </si>
  <si>
    <t>EKS + 8 × m7g.large: 7 сервисов × ≥2 реплики + шлюз</t>
  </si>
  <si>
    <t>4 кластера RDS Multi-AZ db.t4g.large + read replica</t>
  </si>
  <si>
    <t>S3</t>
  </si>
  <si>
    <t>CloudFront (как в A)</t>
  </si>
  <si>
    <t>Amazon MSK 3 × kafka.m7g.large</t>
  </si>
  <si>
    <t>Warm standby в GCP africa-south1 с первого дня (99,95%) → active-active к Г4</t>
  </si>
  <si>
    <t>Ячейка Нигерии: больше узлов (сервисы) + PostgreSQL ×2</t>
  </si>
  <si>
    <t>Сеть, OpenSearch, окружения</t>
  </si>
  <si>
    <t>Сеть (NAT, ALB, WAF) $3 600 + OpenSearch 2 × r6g.large $3 500 + окружения dev/stage ≈ $900/мес</t>
  </si>
  <si>
    <t>Grafana Cloud: больше сервисов — больше трейсов</t>
  </si>
  <si>
    <t>GitHub + Actions (7 пайплайнов)</t>
  </si>
  <si>
    <t>Секреты, сканеры, mTLS-сертификаты</t>
  </si>
  <si>
    <t>BSP WhatsApp</t>
  </si>
  <si>
    <t>Прочие SaaS</t>
  </si>
  <si>
    <t>SMS/USSD-агрегатор</t>
  </si>
  <si>
    <t>Дежурства</t>
  </si>
  <si>
    <t>CTO + Solution Architect</t>
  </si>
  <si>
    <t>Комплаенс (как в A)</t>
  </si>
  <si>
    <t>Пентест (больше поверхность)</t>
  </si>
  <si>
    <t>Онбординг партнёров</t>
  </si>
  <si>
    <t>Найм +4 сверх заморозки (A6 п.5) и обучение Kafka</t>
  </si>
  <si>
    <t>Средний вариант: превышает лимит CFO ($8.5k/мес), +4 человека сверх заморозки (A6 п.5). Это целевое состояние для A через 6–12+ мес. по триггерам, а не стартовое.</t>
  </si>
  <si>
    <t>TCO на 5 лет — C. Предложение CTO: 40–50 микросервисов, Istio, 3 кластера, self-hosted, Oracle, build-not-buy</t>
  </si>
  <si>
    <t>Под 10 млн с первого дня (A5): 2 кластера × ~40 × m7g.xlarge (AWS af-south-1 + GCP africa-south1), Istio-сайдкары +30%</t>
  </si>
  <si>
    <t>Oracle EE на EC2 r6i.2xlarge ×4 (primary + Data Guard в 2 регионах) + self-hosted PostgreSQL, io2</t>
  </si>
  <si>
    <t>Объектное хранилище в 2 облаках</t>
  </si>
  <si>
    <t>CDN (как в A)</t>
  </si>
  <si>
    <t>Self-hosted Kafka ×2 кластера + MirrorMaker 2</t>
  </si>
  <si>
    <t>Active-active: межоблачный egress репликации ≈3 ТБ/мес + глобальный DNS-failover</t>
  </si>
  <si>
    <t>On-prem кластер Лагос: колокация стойки + каналы (A5: «один on-prem под нигерийские данные»)</t>
  </si>
  <si>
    <t>Сеть, WAF, окружения (2 облака)</t>
  </si>
  <si>
    <t>Сеть и WAF в двух облаках $7 200 + окружения: staging-кластеры, dev-лицензии, нагрузочный контур ≈ $4 000/мес</t>
  </si>
  <si>
    <t>OSS-стек self-hosted (Prometheus, Loki, Jaeger, Grafana) — железо в compute, здесь хранение и поддержка</t>
  </si>
  <si>
    <t>GitHub + ArgoCD (self-hosted)</t>
  </si>
  <si>
    <t>Vault, WAF, сканеры, сертификаты mTLS</t>
  </si>
  <si>
    <t>Поддержка Oracle EE (22%/год)</t>
  </si>
  <si>
    <t>Поддержка Oracle EE 22%/год от $380 000 (A6 п.7: лицензии — «ожидайте отказ»)</t>
  </si>
  <si>
    <t>Follow-the-sun для 3 кластеров с первого дня</t>
  </si>
  <si>
    <t>CTO + Architect + Engineering Manager (координация 40–50 сервисов)</t>
  </si>
  <si>
    <t>Пентест: mesh, 3 кластера</t>
  </si>
  <si>
    <t>Прямые интеграции M-Pesa/Flutterwave (оркестрация), своя логистика, сертификация</t>
  </si>
  <si>
    <t>Найм 10+ человек (A5: «3–4 сильных Go в ближайшие 2 недели») + обучение Istio/Oracle</t>
  </si>
  <si>
    <t>Oracle EE лицензии + оборудование on-prem</t>
  </si>
  <si>
    <t>Лицензии Oracle EE 8 processor × $47 500 + серверы on-prem Лагос $80 000; обновление железа в Г4</t>
  </si>
  <si>
    <t>Самый дорогой: облако+SaaS ≈ $32.9k/мес (6.6× лимита), Oracle $380k (A6 п.7: «ожидайте отказ»), +11 человек к заморозке. Окупается против A, только если средняя минута простоя дороже $18.0k весь период — дороже даже оценки инвестора $12k (лист «Сравнение»).</t>
  </si>
  <si>
    <t>Сравнение вариантов (формулы ссылаются на листы TCO)</t>
  </si>
  <si>
    <t>Метрика</t>
  </si>
  <si>
    <t>A — модульный монолит</t>
  </si>
  <si>
    <t>B — сервисы</t>
  </si>
  <si>
    <t>C — микросервисы CTO</t>
  </si>
  <si>
    <t>Комментарий</t>
  </si>
  <si>
    <t>TCO 5 лет, прямые затраты</t>
  </si>
  <si>
    <t>Блоки 1–5 + резерв</t>
  </si>
  <si>
    <t>в т.ч. ИТ без транзакционных (блоки 1, 2, 4, 5)</t>
  </si>
  <si>
    <t>Варианты различаются здесь; блок 3 одинаков (pass-through)</t>
  </si>
  <si>
    <t>TCO 5 лет с простоем (цена минуты от GMV)</t>
  </si>
  <si>
    <t>Режим 2 на листе «Допущения»</t>
  </si>
  <si>
    <t>NPV затрат 5 лет</t>
  </si>
  <si>
    <t>Ставка 25%</t>
  </si>
  <si>
    <t>Облако + SaaS, $/мес, Год 1</t>
  </si>
  <si>
    <t>Лимит CFO $5 000 (A6 п.1)</t>
  </si>
  <si>
    <t>Проверка лимита CFO</t>
  </si>
  <si>
    <t>ФОТ, доля TCO</t>
  </si>
  <si>
    <t>Крупнейшая статья ИТ</t>
  </si>
  <si>
    <t>Включая транзакционные</t>
  </si>
  <si>
    <t>Стоимость заказа (месячная модель: месяц 1 — 25 000 заказов, месяц 12 — 250 000)</t>
  </si>
  <si>
    <t>A</t>
  </si>
  <si>
    <t>B</t>
  </si>
  <si>
    <t>C</t>
  </si>
  <si>
    <t>Месяц 1: инфраструктура + SaaS, $/мес</t>
  </si>
  <si>
    <t>A, B: 85% от среднего Г1 (E63); C: 100% — мощность под 10 млн с первого дня</t>
  </si>
  <si>
    <t>Месяц 1: команда (ФОТ, дежурства, менеджмент), $/мес</t>
  </si>
  <si>
    <t>A: 5 dev + 1 SRE (заморозка, A6 п.5); B: 7 + 2; C: 12 + 5; + дежурства и CTO/архитектор</t>
  </si>
  <si>
    <t>Месяц 1: ИТ-стоимость заказа, $</t>
  </si>
  <si>
    <t>(инфраструктура + команда) / 25 000 заказов</t>
  </si>
  <si>
    <t>Месяц 1: полная стоимость заказа с транзакционными, $</t>
  </si>
  <si>
    <t>+ транзакционные на заказ (строка ниже)</t>
  </si>
  <si>
    <t>Месяц 12: инфраструктура + SaaS, $/мес</t>
  </si>
  <si>
    <t>Среднее Г2 из TCO: (блок 1 + блок 2, F15 + F24) / 12</t>
  </si>
  <si>
    <t>Месяц 12: команда, $/мес</t>
  </si>
  <si>
    <t>Среднее Г2 из TCO: блок 4 (F40) / 12; A = 11 FTE, как в roadmap</t>
  </si>
  <si>
    <t>Месяц 12: ИТ-стоимость заказа, $</t>
  </si>
  <si>
    <t>(инфраструктура + команда) / 250 000 заказов</t>
  </si>
  <si>
    <t>Месяц 12: полная стоимость заказа с транзакционными, $</t>
  </si>
  <si>
    <t>+ транзакционные на заказ</t>
  </si>
  <si>
    <t>Транзакционные на заказ (PSP, SMS, WhatsApp, возвраты, USSD), $</t>
  </si>
  <si>
    <t>Одинаковы для всех вариантов (pass-through)</t>
  </si>
  <si>
    <t>Чувствительность к цене простоя</t>
  </si>
  <si>
    <t>TCO 5 лет, если каждая минута стоит $12k (оценка инвестора)</t>
  </si>
  <si>
    <t>Даже при $12k каждую минуту C дороже A: вариант CTO окупается только от точки безубыточности ниже. Четвёртая девятка на A — отдельно, см. строку «4-я девятка»</t>
  </si>
  <si>
    <t>Точка безубыточности C против A: средняя цена минуты простоя, $</t>
  </si>
  <si>
    <t>Δ прямых затрат C−A / Δ минут простоя A−C за 5 лет</t>
  </si>
  <si>
    <t>Точка безубыточности B против A, $/мин</t>
  </si>
  <si>
    <t>4-я девятка на A (99,95% → 99,99%): прирост затрат Г3 → Г4, $/год</t>
  </si>
  <si>
    <t>Второй регион active-active (строка 12), +2 SRE (строка 36), дежурства (строка 37)</t>
  </si>
  <si>
    <t>4-я девятка на A: безубыточная средняя цена минуты, $</t>
  </si>
  <si>
    <t>Прирост / 210 сэкономленных минут в год. По плану — Г3 ($2 055/мин); в TCO стоит Г4 — решение по фактической цене минуты. Если инвестор подтвердит $12k как среднюю минуту — окупается сразу, но это сверх лимита CFO (Q-02)</t>
  </si>
  <si>
    <t>Чувствительность: ИТ-затраты без транзакционных за 5 лет (теория «TCO»)</t>
  </si>
  <si>
    <t>База</t>
  </si>
  <si>
    <t>Как в строке 6</t>
  </si>
  <si>
    <t>Нагрузка ×10 к плану</t>
  </si>
  <si>
    <t>A, B: инфраструктура и SaaS × 10^0,85 + переделка (A $0,63 млн, B $0,3 млн); C: × 2 (уже под 10 млн)</t>
  </si>
  <si>
    <t>Срыв запуска на 3 мес. (C — на 6 мес.)</t>
  </si>
  <si>
    <t>+ месяцы команды и инфраструктуры Г1 без выручки</t>
  </si>
  <si>
    <t>Команда +30% (медленнее разработка)</t>
  </si>
  <si>
    <t>Блок 4 × 1,3</t>
  </si>
  <si>
    <t>Вывод: во всех сценариях A дешевле B и C; разрыв сокращается только при нагрузке ×10 — это и есть триггер перехода A → B (ADR-001)</t>
  </si>
  <si>
    <t>Сколько стоит ошибиться (A6: «что мы потратили зря?» и «сколько стоит переделка?»)</t>
  </si>
  <si>
    <t>Сценарий 1. Строили под 10 млн, пришло 50 тыс. MAU — затраты Года 1</t>
  </si>
  <si>
    <t>Статья</t>
  </si>
  <si>
    <t>A под 50 тыс.</t>
  </si>
  <si>
    <t>B под 50 тыс.</t>
  </si>
  <si>
    <t>C под 50 тыс.</t>
  </si>
  <si>
    <t>Инфраструктура</t>
  </si>
  <si>
    <t>C: 6 мес. полная мощность под 10 млн, затем срезка до 40%</t>
  </si>
  <si>
    <t>SaaS и лицензии (поддержка)</t>
  </si>
  <si>
    <t>Команда</t>
  </si>
  <si>
    <t>C: 17 FTE полгода (уже наняты), затем 8</t>
  </si>
  <si>
    <t>Разовые (лицензии Oracle, железо, найм, онбординг)</t>
  </si>
  <si>
    <t>Oracle $380k и серверы $80k — невозвратные</t>
  </si>
  <si>
    <t>Итого Год 1</t>
  </si>
  <si>
    <t>Потрачено зря относительно A</t>
  </si>
  <si>
    <t>Сценарий 2. Строили A (малое), а пришло 10 млн уже в Году 1 — цена ускоренной переделки</t>
  </si>
  <si>
    <t>Выделение 5 модулей в сервисы (5 × 3 чел-мес)</t>
  </si>
  <si>
    <t>Strangler: границы модулей и схем уже есть — переписывать не нужно</t>
  </si>
  <si>
    <t>Kafka + второй регион (6 чел-мес платформы)</t>
  </si>
  <si>
    <t>Временный вертикальный рост БД/узлов (6 мес × $5k)</t>
  </si>
  <si>
    <t>Доп. простой на переходе (99,9% вместо 99,99% при ×10 нагрузке, 50% вероятность)</t>
  </si>
  <si>
    <t>Цена минуты при 10 млн ×10 к плану Г1</t>
  </si>
  <si>
    <t>Итого цена переделки</t>
  </si>
  <si>
    <t>Вывод: ошибка «построили большое» ≈ $1,6 млн невозвратно за Год 1 (лицензии, найм, железо). Ошибка «построили малое» ≈ $0,19 млн работ + до $0,45 млн риска простоя на переходе — в 2,5 раза дешевле и обратима за 3–6 мес. по триггерам из ADR-001.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</si>
</sst>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;&quot;($&quot;#,##0.00\);\-"/>
    <numFmt numFmtId="165" formatCode="\$#,##0;&quot;($&quot;#,##0\);\-"/>
    <numFmt numFmtId="166" formatCode="0.0%"/>
    <numFmt numFmtId="167" formatCode="0.000%"/>
    <numFmt numFmtId="168" formatCode="0.000"/>
    <numFmt numFmtId="169" formatCode="0.0"/>
    <numFmt numFmtId="170" formatCode="\$#,##0.00"/>
    <numFmt numFmtId="171" formatCode="\$#,##0.000"/>
  </numFmts>
  <fonts count="14" x14ac:knownFonts="1">
    <font>
      <sz val="11"/>
      <color theme="1"/>
      <name val="Calibri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i/>
      <sz val="9"/>
      <color rgb="FF808080"/>
      <name val="Arial"/>
    </font>
    <font>
      <b/>
      <sz val="11"/>
      <color rgb="FFFFFFFF"/>
      <name val="Arial"/>
    </font>
    <font>
      <b/>
      <sz val="10"/>
      <color rgb="FFC00000"/>
      <name val="Arial"/>
    </font>
    <font>
      <sz val="10"/>
      <color rgb="FF0000FF"/>
      <name val="Arial"/>
    </font>
    <font>
      <sz val="11"/>
      <color theme="1"/>
      <name val="Calibri"/>
      <scheme val="minor"/>
    </font>
    <font>
      <sz val="10"/>
      <color rgb="FF008000"/>
      <name val="Arial"/>
    </font>
    <font>
      <b/>
      <sz val="11"/>
      <name val="Calibri"/>
    </font>
    <font>
      <sz val="11"/>
      <color rgb="FF0000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</patternFill>
    </fill>
    <fill>
      <patternFill patternType="solid">
        <fgColor rgb="FFFFFF9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/>
    <xf numFmtId="0" fontId="6" fillId="0" borderId="0" xfId="0" applyFont="1" applyAlignment="1"/>
    <xf numFmtId="0" fontId="4" fillId="2" borderId="2" xfId="0" applyFont="1" applyFill="1" applyBorder="1" applyAlignment="1"/>
    <xf numFmtId="0" fontId="5" fillId="2" borderId="2" xfId="0" applyFont="1" applyFill="1" applyBorder="1" applyAlignment="1"/>
    <xf numFmtId="0" fontId="7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3" fontId="9" fillId="4" borderId="2" xfId="0" applyNumberFormat="1" applyFont="1" applyFill="1" applyBorder="1" applyAlignment="1"/>
    <xf numFmtId="0" fontId="6" fillId="0" borderId="0" xfId="0" applyFont="1" applyAlignment="1">
      <alignment vertical="top" wrapText="1"/>
    </xf>
    <xf numFmtId="164" fontId="9" fillId="4" borderId="2" xfId="0" applyNumberFormat="1" applyFont="1" applyFill="1" applyBorder="1" applyAlignment="1"/>
    <xf numFmtId="0" fontId="2" fillId="0" borderId="2" xfId="0" applyFont="1" applyBorder="1" applyAlignment="1"/>
    <xf numFmtId="165" fontId="2" fillId="0" borderId="2" xfId="0" applyNumberFormat="1" applyFont="1" applyBorder="1" applyAlignment="1"/>
    <xf numFmtId="0" fontId="9" fillId="4" borderId="2" xfId="0" applyFont="1" applyFill="1" applyBorder="1" applyAlignment="1"/>
    <xf numFmtId="165" fontId="9" fillId="4" borderId="2" xfId="0" applyNumberFormat="1" applyFont="1" applyFill="1" applyBorder="1" applyAlignment="1"/>
    <xf numFmtId="166" fontId="9" fillId="4" borderId="2" xfId="0" applyNumberFormat="1" applyFont="1" applyFill="1" applyBorder="1" applyAlignment="1"/>
    <xf numFmtId="167" fontId="9" fillId="4" borderId="2" xfId="0" applyNumberFormat="1" applyFont="1" applyFill="1" applyBorder="1" applyAlignment="1"/>
    <xf numFmtId="1" fontId="9" fillId="4" borderId="2" xfId="0" applyNumberFormat="1" applyFont="1" applyFill="1" applyBorder="1" applyAlignment="1"/>
    <xf numFmtId="2" fontId="3" fillId="0" borderId="2" xfId="0" applyNumberFormat="1" applyFont="1" applyBorder="1" applyAlignment="1"/>
    <xf numFmtId="165" fontId="3" fillId="0" borderId="2" xfId="0" applyNumberFormat="1" applyFont="1" applyBorder="1" applyAlignment="1"/>
    <xf numFmtId="0" fontId="5" fillId="0" borderId="2" xfId="0" applyFont="1" applyBorder="1" applyAlignment="1"/>
    <xf numFmtId="0" fontId="6" fillId="0" borderId="2" xfId="0" applyFont="1" applyBorder="1" applyAlignment="1">
      <alignment vertical="top" wrapText="1"/>
    </xf>
    <xf numFmtId="0" fontId="2" fillId="5" borderId="2" xfId="0" applyFont="1" applyFill="1" applyBorder="1" applyAlignment="1"/>
    <xf numFmtId="0" fontId="5" fillId="5" borderId="2" xfId="0" applyFont="1" applyFill="1" applyBorder="1" applyAlignment="1"/>
    <xf numFmtId="165" fontId="2" fillId="5" borderId="2" xfId="0" applyNumberFormat="1" applyFont="1" applyFill="1" applyBorder="1" applyAlignment="1"/>
    <xf numFmtId="166" fontId="2" fillId="5" borderId="2" xfId="0" applyNumberFormat="1" applyFont="1" applyFill="1" applyBorder="1" applyAlignment="1"/>
    <xf numFmtId="0" fontId="10" fillId="0" borderId="0" xfId="0" applyFont="1"/>
    <xf numFmtId="165" fontId="11" fillId="0" borderId="2" xfId="0" applyNumberFormat="1" applyFont="1" applyBorder="1" applyAlignment="1"/>
    <xf numFmtId="168" fontId="11" fillId="0" borderId="2" xfId="0" applyNumberFormat="1" applyFont="1" applyBorder="1" applyAlignment="1"/>
    <xf numFmtId="0" fontId="0" fillId="0" borderId="0" xfId="0"/>
    <xf numFmtId="0" fontId="12" fillId="0" borderId="0" xfId="0" applyFont="1"/>
    <xf numFmtId="0" fontId="12" fillId="7" borderId="0" xfId="0" applyFont="1" applyFill="1"/>
    <xf numFmtId="169" fontId="13" fillId="8" borderId="0" xfId="0" applyNumberFormat="1" applyFont="1" applyFill="1"/>
    <xf numFmtId="169" fontId="0" fillId="0" borderId="0" xfId="0" applyNumberFormat="1"/>
    <xf numFmtId="165" fontId="0" fillId="0" borderId="0" xfId="0" applyNumberFormat="1"/>
    <xf numFmtId="1" fontId="13" fillId="8" borderId="0" xfId="0" applyNumberFormat="1" applyFont="1" applyFill="1"/>
    <xf numFmtId="1" fontId="0" fillId="0" borderId="0" xfId="0" applyNumberFormat="1"/>
    <xf numFmtId="10" fontId="13" fillId="8" borderId="0" xfId="0" applyNumberFormat="1" applyFont="1" applyFill="1"/>
    <xf numFmtId="165" fontId="13" fillId="8" borderId="0" xfId="0" applyNumberFormat="1" applyFont="1" applyFill="1"/>
    <xf numFmtId="165" fontId="13" fillId="0" borderId="2" xfId="0" applyNumberFormat="1" applyFont="1" applyBorder="1" applyAlignment="1"/>
    <xf numFmtId="0" fontId="13" fillId="8" borderId="0" xfId="0" applyFont="1" applyFill="1"/>
    <xf numFmtId="166" fontId="0" fillId="0" borderId="0" xfId="0" applyNumberFormat="1"/>
    <xf numFmtId="170" fontId="0" fillId="0" borderId="0" xfId="0" applyNumberFormat="1"/>
    <xf numFmtId="10" fontId="0" fillId="0" borderId="0" xfId="0" applyNumberFormat="1"/>
    <xf numFmtId="171" fontId="0" fillId="0" borderId="0" xfId="0" applyNumberFormat="1"/>
    <xf numFmtId="0" fontId="8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vertical="top" wrapText="1"/>
    </xf>
    <xf numFmtId="165" fontId="2" fillId="6" borderId="2" xfId="0" applyNumberFormat="1" applyFont="1" applyFill="1" applyBorder="1" applyAlignment="1"/>
    <xf numFmtId="0" fontId="0" fillId="0" borderId="3" xfId="0" applyBorder="1"/>
    <xf numFmtId="0" fontId="9" fillId="4" borderId="2" xfId="0" applyFont="1" applyFill="1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6" fontId="2" fillId="6" borderId="2" xfId="0" applyNumberFormat="1" applyFont="1" applyFill="1" applyBorder="1" applyAlignment="1"/>
    <xf numFmtId="0" fontId="4" fillId="0" borderId="0" xfId="0" applyFont="1" applyAlignment="1"/>
    <xf numFmtId="10" fontId="2" fillId="6" borderId="2" xfId="0" applyNumberFormat="1" applyFont="1" applyFill="1" applyBorder="1" applyAlignment="1"/>
    <xf numFmtId="164" fontId="2" fillId="6" borderId="2" xfId="0" applyNumberFormat="1" applyFont="1" applyFill="1" applyBorder="1" applyAlignment="1"/>
    <xf numFmtId="0" fontId="2" fillId="6" borderId="2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00"/>
  <sheetViews>
    <sheetView showGridLines="0" tabSelected="1" workbookViewId="0"/>
  </sheetViews>
  <sheetFormatPr defaultColWidth="14.42578125" defaultRowHeight="15" customHeight="1" x14ac:dyDescent="0.25"/>
  <cols>
    <col min="1" max="1" width="3" style="32" customWidth="1"/>
    <col min="2" max="2" width="46" style="32" customWidth="1"/>
    <col min="3" max="3" width="78" style="32" customWidth="1"/>
    <col min="4" max="26" width="8.7109375" style="32" customWidth="1"/>
  </cols>
  <sheetData>
    <row r="2" spans="2:3" ht="18" x14ac:dyDescent="0.25">
      <c r="B2" s="1" t="s">
        <v>0</v>
      </c>
    </row>
    <row r="3" spans="2:3" x14ac:dyDescent="0.25">
      <c r="B3" s="2"/>
      <c r="C3" s="3"/>
    </row>
    <row r="4" spans="2:3" x14ac:dyDescent="0.25">
      <c r="B4" s="4" t="s">
        <v>1</v>
      </c>
      <c r="C4" s="5"/>
    </row>
    <row r="5" spans="2:3" ht="30" customHeight="1" x14ac:dyDescent="0.25">
      <c r="B5" s="2" t="s">
        <v>2</v>
      </c>
      <c r="C5" s="3" t="s">
        <v>3</v>
      </c>
    </row>
    <row r="6" spans="2:3" ht="30" customHeight="1" x14ac:dyDescent="0.25">
      <c r="B6" s="2" t="s">
        <v>4</v>
      </c>
      <c r="C6" s="3" t="s">
        <v>5</v>
      </c>
    </row>
    <row r="7" spans="2:3" x14ac:dyDescent="0.25">
      <c r="B7" s="2"/>
      <c r="C7" s="3"/>
    </row>
    <row r="8" spans="2:3" x14ac:dyDescent="0.25">
      <c r="B8" s="4" t="s">
        <v>6</v>
      </c>
      <c r="C8" s="5"/>
    </row>
    <row r="9" spans="2:3" x14ac:dyDescent="0.25">
      <c r="B9" s="2" t="s">
        <v>7</v>
      </c>
      <c r="C9" s="3" t="s">
        <v>8</v>
      </c>
    </row>
    <row r="10" spans="2:3" x14ac:dyDescent="0.25">
      <c r="B10" s="2" t="s">
        <v>9</v>
      </c>
      <c r="C10" s="3" t="s">
        <v>10</v>
      </c>
    </row>
    <row r="11" spans="2:3" x14ac:dyDescent="0.25">
      <c r="B11" s="2" t="s">
        <v>11</v>
      </c>
      <c r="C11" s="3" t="s">
        <v>12</v>
      </c>
    </row>
    <row r="12" spans="2:3" x14ac:dyDescent="0.25">
      <c r="B12" s="2"/>
      <c r="C12" s="3"/>
    </row>
    <row r="13" spans="2:3" x14ac:dyDescent="0.25">
      <c r="B13" s="4" t="s">
        <v>13</v>
      </c>
      <c r="C13" s="5"/>
    </row>
    <row r="14" spans="2:3" ht="30" customHeight="1" x14ac:dyDescent="0.25">
      <c r="B14" s="2" t="s">
        <v>14</v>
      </c>
      <c r="C14" s="3" t="s">
        <v>15</v>
      </c>
    </row>
    <row r="15" spans="2:3" ht="30" customHeight="1" x14ac:dyDescent="0.25">
      <c r="B15" s="2" t="s">
        <v>16</v>
      </c>
      <c r="C15" s="3" t="s">
        <v>17</v>
      </c>
    </row>
    <row r="16" spans="2:3" ht="30" customHeight="1" x14ac:dyDescent="0.25">
      <c r="B16" s="2" t="s">
        <v>18</v>
      </c>
      <c r="C16" s="3" t="s">
        <v>19</v>
      </c>
    </row>
    <row r="17" spans="2:3" ht="30" customHeight="1" x14ac:dyDescent="0.25">
      <c r="B17" s="2" t="s">
        <v>20</v>
      </c>
      <c r="C17" s="3" t="s">
        <v>21</v>
      </c>
    </row>
    <row r="18" spans="2:3" ht="30" customHeight="1" x14ac:dyDescent="0.25">
      <c r="B18" s="2" t="s">
        <v>22</v>
      </c>
      <c r="C18" s="3" t="s">
        <v>23</v>
      </c>
    </row>
    <row r="19" spans="2:3" x14ac:dyDescent="0.25">
      <c r="B19" s="2"/>
      <c r="C19" s="3"/>
    </row>
    <row r="20" spans="2:3" x14ac:dyDescent="0.25">
      <c r="B20" s="4" t="s">
        <v>24</v>
      </c>
      <c r="C20" s="5"/>
    </row>
    <row r="21" spans="2:3" ht="30" customHeight="1" x14ac:dyDescent="0.25">
      <c r="B21" s="2" t="s">
        <v>25</v>
      </c>
      <c r="C21" s="3" t="s">
        <v>26</v>
      </c>
    </row>
    <row r="22" spans="2:3" ht="30" customHeight="1" x14ac:dyDescent="0.25">
      <c r="B22" s="2" t="s">
        <v>27</v>
      </c>
      <c r="C22" s="3" t="s">
        <v>28</v>
      </c>
    </row>
    <row r="23" spans="2:3" ht="30" customHeight="1" x14ac:dyDescent="0.25">
      <c r="B23" s="2" t="s">
        <v>29</v>
      </c>
      <c r="C23" s="3" t="s">
        <v>30</v>
      </c>
    </row>
    <row r="24" spans="2:3" ht="30" customHeight="1" x14ac:dyDescent="0.25">
      <c r="B24" s="2" t="s">
        <v>31</v>
      </c>
      <c r="C24" s="3" t="s">
        <v>32</v>
      </c>
    </row>
    <row r="25" spans="2:3" ht="30" customHeight="1" x14ac:dyDescent="0.25">
      <c r="B25" s="2" t="s">
        <v>33</v>
      </c>
      <c r="C25" s="3" t="s">
        <v>34</v>
      </c>
    </row>
    <row r="26" spans="2:3" ht="30" customHeight="1" x14ac:dyDescent="0.25">
      <c r="B26" s="2" t="s">
        <v>35</v>
      </c>
      <c r="C26" s="3" t="s">
        <v>36</v>
      </c>
    </row>
    <row r="27" spans="2:3" ht="15.75" customHeight="1" x14ac:dyDescent="0.25">
      <c r="B27" s="2"/>
      <c r="C27" s="3"/>
    </row>
    <row r="28" spans="2:3" ht="30" customHeight="1" x14ac:dyDescent="0.25">
      <c r="B28" s="48" t="s">
        <v>37</v>
      </c>
      <c r="C28" s="49"/>
    </row>
    <row r="29" spans="2:3" ht="15.75" customHeight="1" x14ac:dyDescent="0.25"/>
    <row r="30" spans="2:3" ht="15.75" customHeight="1" x14ac:dyDescent="0.25">
      <c r="B30" s="33" t="s">
        <v>38</v>
      </c>
    </row>
    <row r="31" spans="2:3" ht="15.75" customHeight="1" x14ac:dyDescent="0.25">
      <c r="B31" t="s">
        <v>39</v>
      </c>
    </row>
    <row r="32" spans="2:3" ht="15.75" customHeight="1" x14ac:dyDescent="0.25">
      <c r="B32" t="s">
        <v>40</v>
      </c>
    </row>
    <row r="33" spans="2:2" ht="15.75" customHeight="1" x14ac:dyDescent="0.25">
      <c r="B33" t="s">
        <v>41</v>
      </c>
    </row>
    <row r="34" spans="2:2" ht="15.75" customHeight="1" x14ac:dyDescent="0.25">
      <c r="B34" t="s">
        <v>42</v>
      </c>
    </row>
    <row r="35" spans="2:2" ht="15.75" customHeight="1" x14ac:dyDescent="0.25">
      <c r="B35" t="s">
        <v>43</v>
      </c>
    </row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8:C28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1000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2578125" defaultRowHeight="15" customHeight="1" x14ac:dyDescent="0.25"/>
  <cols>
    <col min="1" max="1" width="3" style="32" customWidth="1"/>
    <col min="2" max="2" width="42" style="32" customWidth="1"/>
    <col min="3" max="7" width="15" style="32" customWidth="1"/>
    <col min="8" max="8" width="52" style="32" customWidth="1"/>
    <col min="9" max="26" width="8.7109375" style="32" customWidth="1"/>
  </cols>
  <sheetData>
    <row r="2" spans="2:8" ht="18" x14ac:dyDescent="0.25">
      <c r="B2" s="1" t="s">
        <v>44</v>
      </c>
    </row>
    <row r="3" spans="2:8" x14ac:dyDescent="0.25">
      <c r="B3" s="6" t="s">
        <v>45</v>
      </c>
    </row>
    <row r="5" spans="2:8" x14ac:dyDescent="0.25">
      <c r="B5" s="7" t="s">
        <v>46</v>
      </c>
      <c r="C5" s="8"/>
      <c r="D5" s="8"/>
      <c r="E5" s="8"/>
      <c r="F5" s="8"/>
      <c r="G5" s="8"/>
      <c r="H5" s="8"/>
    </row>
    <row r="6" spans="2:8" x14ac:dyDescent="0.25">
      <c r="B6" s="9" t="s">
        <v>47</v>
      </c>
      <c r="C6" s="9" t="s">
        <v>48</v>
      </c>
      <c r="D6" s="9" t="s">
        <v>49</v>
      </c>
      <c r="E6" s="9" t="s">
        <v>50</v>
      </c>
      <c r="F6" s="9" t="s">
        <v>51</v>
      </c>
      <c r="G6" s="9" t="s">
        <v>52</v>
      </c>
      <c r="H6" s="9" t="s">
        <v>53</v>
      </c>
    </row>
    <row r="7" spans="2:8" ht="36" x14ac:dyDescent="0.25">
      <c r="B7" s="10" t="s">
        <v>54</v>
      </c>
      <c r="C7" s="11">
        <v>1000000</v>
      </c>
      <c r="D7" s="11">
        <v>2500000</v>
      </c>
      <c r="E7" s="11">
        <v>5000000</v>
      </c>
      <c r="F7" s="11">
        <v>7000000</v>
      </c>
      <c r="G7" s="11">
        <v>9000000</v>
      </c>
      <c r="H7" s="12" t="s">
        <v>55</v>
      </c>
    </row>
    <row r="8" spans="2:8" ht="24" x14ac:dyDescent="0.25">
      <c r="B8" s="10" t="s">
        <v>56</v>
      </c>
      <c r="C8" s="11">
        <v>1500000</v>
      </c>
      <c r="D8" s="11">
        <v>6000000</v>
      </c>
      <c r="E8" s="11">
        <v>15000000</v>
      </c>
      <c r="F8" s="11">
        <v>24000000</v>
      </c>
      <c r="G8" s="11">
        <v>32000000</v>
      </c>
      <c r="H8" s="12" t="s">
        <v>57</v>
      </c>
    </row>
    <row r="9" spans="2:8" ht="24" x14ac:dyDescent="0.25">
      <c r="B9" s="10" t="s">
        <v>58</v>
      </c>
      <c r="C9" s="13">
        <v>22</v>
      </c>
      <c r="D9" s="13">
        <v>23</v>
      </c>
      <c r="E9" s="13">
        <v>24</v>
      </c>
      <c r="F9" s="13">
        <v>25</v>
      </c>
      <c r="G9" s="13">
        <v>26</v>
      </c>
      <c r="H9" s="12" t="s">
        <v>59</v>
      </c>
    </row>
    <row r="10" spans="2:8" x14ac:dyDescent="0.25">
      <c r="B10" s="14" t="s">
        <v>60</v>
      </c>
      <c r="C10" s="15">
        <f>C8*C9</f>
        <v>33000000</v>
      </c>
      <c r="D10" s="15">
        <f>D8*D9</f>
        <v>138000000</v>
      </c>
      <c r="E10" s="15">
        <f>E8*E9</f>
        <v>360000000</v>
      </c>
      <c r="F10" s="15">
        <f>F8*F9</f>
        <v>600000000</v>
      </c>
      <c r="G10" s="15">
        <f>G8*G9</f>
        <v>832000000</v>
      </c>
      <c r="H10" s="12" t="s">
        <v>61</v>
      </c>
    </row>
    <row r="12" spans="2:8" x14ac:dyDescent="0.25">
      <c r="B12" s="7" t="s">
        <v>62</v>
      </c>
      <c r="C12" s="8"/>
      <c r="D12" s="8"/>
      <c r="E12" s="8"/>
      <c r="F12" s="8"/>
      <c r="G12" s="8"/>
      <c r="H12" s="8"/>
    </row>
    <row r="13" spans="2:8" x14ac:dyDescent="0.25">
      <c r="B13" s="9" t="s">
        <v>63</v>
      </c>
      <c r="C13" s="9" t="s">
        <v>64</v>
      </c>
      <c r="D13" s="9"/>
      <c r="E13" s="9"/>
      <c r="F13" s="9"/>
      <c r="G13" s="9"/>
      <c r="H13" s="9" t="s">
        <v>53</v>
      </c>
    </row>
    <row r="14" spans="2:8" ht="24" x14ac:dyDescent="0.25">
      <c r="B14" s="10" t="s">
        <v>65</v>
      </c>
      <c r="C14" s="18">
        <v>0.05</v>
      </c>
      <c r="H14" s="12" t="s">
        <v>66</v>
      </c>
    </row>
    <row r="15" spans="2:8" x14ac:dyDescent="0.25">
      <c r="B15" s="10" t="s">
        <v>67</v>
      </c>
      <c r="C15" s="18">
        <v>0.1</v>
      </c>
      <c r="H15" s="12" t="s">
        <v>68</v>
      </c>
    </row>
    <row r="16" spans="2:8" x14ac:dyDescent="0.25">
      <c r="B16" s="10" t="s">
        <v>69</v>
      </c>
      <c r="C16" s="18">
        <v>0.25</v>
      </c>
      <c r="H16" s="12" t="s">
        <v>70</v>
      </c>
    </row>
    <row r="17" spans="2:8" x14ac:dyDescent="0.25">
      <c r="B17" s="10" t="s">
        <v>71</v>
      </c>
      <c r="C17" s="18">
        <v>0.15</v>
      </c>
      <c r="H17" s="12" t="s">
        <v>72</v>
      </c>
    </row>
    <row r="18" spans="2:8" ht="24" x14ac:dyDescent="0.25">
      <c r="B18" s="10" t="s">
        <v>73</v>
      </c>
      <c r="C18" s="17">
        <v>5000</v>
      </c>
      <c r="H18" s="12" t="s">
        <v>74</v>
      </c>
    </row>
    <row r="19" spans="2:8" ht="24" x14ac:dyDescent="0.25">
      <c r="B19" s="10" t="s">
        <v>75</v>
      </c>
      <c r="C19" s="17">
        <v>12000</v>
      </c>
      <c r="H19" s="12" t="s">
        <v>76</v>
      </c>
    </row>
    <row r="20" spans="2:8" ht="24" x14ac:dyDescent="0.25">
      <c r="B20" s="10" t="s">
        <v>77</v>
      </c>
      <c r="C20" s="19">
        <v>0.999</v>
      </c>
      <c r="H20" s="12" t="s">
        <v>78</v>
      </c>
    </row>
    <row r="21" spans="2:8" ht="15.75" customHeight="1" x14ac:dyDescent="0.25">
      <c r="B21" s="10" t="s">
        <v>79</v>
      </c>
      <c r="C21" s="20">
        <v>1</v>
      </c>
      <c r="H21" s="12" t="s">
        <v>80</v>
      </c>
    </row>
    <row r="22" spans="2:8" ht="15.75" customHeight="1" x14ac:dyDescent="0.25"/>
    <row r="23" spans="2:8" ht="15.75" customHeight="1" x14ac:dyDescent="0.25">
      <c r="B23" s="7" t="s">
        <v>81</v>
      </c>
      <c r="C23" s="8"/>
      <c r="D23" s="8"/>
      <c r="E23" s="8"/>
      <c r="F23" s="8"/>
      <c r="G23" s="8"/>
      <c r="H23" s="8"/>
    </row>
    <row r="24" spans="2:8" ht="15.75" customHeight="1" x14ac:dyDescent="0.25">
      <c r="B24" s="9" t="s">
        <v>82</v>
      </c>
      <c r="C24" s="9" t="s">
        <v>48</v>
      </c>
      <c r="D24" s="9" t="s">
        <v>49</v>
      </c>
      <c r="E24" s="9" t="s">
        <v>50</v>
      </c>
      <c r="F24" s="9" t="s">
        <v>51</v>
      </c>
      <c r="G24" s="9" t="s">
        <v>52</v>
      </c>
      <c r="H24" s="9" t="s">
        <v>83</v>
      </c>
    </row>
    <row r="25" spans="2:8" ht="15.75" customHeight="1" x14ac:dyDescent="0.25">
      <c r="B25" s="10" t="s">
        <v>84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12" t="s">
        <v>85</v>
      </c>
    </row>
    <row r="26" spans="2:8" ht="15.75" customHeight="1" x14ac:dyDescent="0.25">
      <c r="B26" s="10" t="s">
        <v>86</v>
      </c>
      <c r="C26" s="21">
        <v>1</v>
      </c>
      <c r="D26" s="21">
        <f>C26*(1+$C$14)</f>
        <v>1.05</v>
      </c>
      <c r="E26" s="21">
        <f>D26*(1+$C$14)</f>
        <v>1.1025</v>
      </c>
      <c r="F26" s="21">
        <f>E26*(1+$C$14)</f>
        <v>1.1576250000000001</v>
      </c>
      <c r="G26" s="21">
        <f>F26*(1+$C$14)</f>
        <v>1.2155062500000002</v>
      </c>
      <c r="H26" s="12" t="s">
        <v>87</v>
      </c>
    </row>
    <row r="27" spans="2:8" ht="15.75" customHeight="1" x14ac:dyDescent="0.25">
      <c r="B27" s="10" t="s">
        <v>88</v>
      </c>
      <c r="C27" s="21">
        <v>1</v>
      </c>
      <c r="D27" s="21">
        <f>C27*(1+$C$15)</f>
        <v>1.1000000000000001</v>
      </c>
      <c r="E27" s="21">
        <f>D27*(1+$C$15)</f>
        <v>1.2100000000000002</v>
      </c>
      <c r="F27" s="21">
        <f>E27*(1+$C$15)</f>
        <v>1.3310000000000004</v>
      </c>
      <c r="G27" s="21">
        <f>F27*(1+$C$15)</f>
        <v>1.4641000000000006</v>
      </c>
      <c r="H27" s="12" t="s">
        <v>89</v>
      </c>
    </row>
    <row r="28" spans="2:8" ht="15.75" customHeight="1" x14ac:dyDescent="0.25">
      <c r="B28" s="10" t="s">
        <v>90</v>
      </c>
      <c r="C28" s="21">
        <f>C7/$C$7</f>
        <v>1</v>
      </c>
      <c r="D28" s="21">
        <f>D7/$C$7</f>
        <v>2.5</v>
      </c>
      <c r="E28" s="21">
        <f>E7/$C$7</f>
        <v>5</v>
      </c>
      <c r="F28" s="21">
        <f>F7/$C$7</f>
        <v>7</v>
      </c>
      <c r="G28" s="21">
        <f>G7/$C$7</f>
        <v>9</v>
      </c>
      <c r="H28" s="12" t="s">
        <v>91</v>
      </c>
    </row>
    <row r="29" spans="2:8" ht="15.75" customHeight="1" x14ac:dyDescent="0.25">
      <c r="B29" s="10" t="s">
        <v>92</v>
      </c>
      <c r="C29" s="21">
        <f>C8/$C$8</f>
        <v>1</v>
      </c>
      <c r="D29" s="21">
        <f>D8/$C$8</f>
        <v>4</v>
      </c>
      <c r="E29" s="21">
        <f>E8/$C$8</f>
        <v>10</v>
      </c>
      <c r="F29" s="21">
        <f>F8/$C$8</f>
        <v>16</v>
      </c>
      <c r="G29" s="21">
        <f>G8/$C$8</f>
        <v>21.333333333333332</v>
      </c>
      <c r="H29" s="12" t="s">
        <v>93</v>
      </c>
    </row>
    <row r="30" spans="2:8" ht="15.75" customHeight="1" x14ac:dyDescent="0.25">
      <c r="B30" s="10" t="s">
        <v>94</v>
      </c>
      <c r="C30" s="21">
        <f>C10/$C$10</f>
        <v>1</v>
      </c>
      <c r="D30" s="21">
        <f>D10/$C$10</f>
        <v>4.1818181818181817</v>
      </c>
      <c r="E30" s="21">
        <f>E10/$C$10</f>
        <v>10.909090909090908</v>
      </c>
      <c r="F30" s="21">
        <f>F10/$C$10</f>
        <v>18.181818181818183</v>
      </c>
      <c r="G30" s="21">
        <f>G10/$C$10</f>
        <v>25.212121212121211</v>
      </c>
      <c r="H30" s="12" t="s">
        <v>95</v>
      </c>
    </row>
    <row r="31" spans="2:8" ht="15.75" customHeight="1" x14ac:dyDescent="0.25"/>
    <row r="32" spans="2:8" ht="15" customHeight="1" x14ac:dyDescent="0.25">
      <c r="B32" s="50" t="s">
        <v>96</v>
      </c>
      <c r="C32" s="49"/>
      <c r="D32" s="49"/>
      <c r="E32" s="49"/>
      <c r="F32" s="49"/>
      <c r="G32" s="49"/>
      <c r="H32" s="49"/>
    </row>
    <row r="33" spans="2:8" ht="15.75" customHeight="1" x14ac:dyDescent="0.25">
      <c r="B33" s="49"/>
      <c r="C33" s="49"/>
      <c r="D33" s="49"/>
      <c r="E33" s="49"/>
      <c r="F33" s="49"/>
      <c r="G33" s="49"/>
      <c r="H33" s="49"/>
    </row>
    <row r="34" spans="2:8" ht="15.75" customHeight="1" x14ac:dyDescent="0.25">
      <c r="B34" s="34" t="s">
        <v>97</v>
      </c>
    </row>
    <row r="35" spans="2:8" ht="15.75" customHeight="1" x14ac:dyDescent="0.25">
      <c r="B35" t="s">
        <v>98</v>
      </c>
      <c r="C35" s="35">
        <v>3</v>
      </c>
      <c r="D35" s="36"/>
      <c r="E35" s="36"/>
      <c r="F35" s="36"/>
      <c r="G35" s="36"/>
      <c r="H35" t="s">
        <v>99</v>
      </c>
    </row>
    <row r="36" spans="2:8" ht="15.75" customHeight="1" x14ac:dyDescent="0.25">
      <c r="B36" t="s">
        <v>100</v>
      </c>
      <c r="C36" s="37">
        <f>C10/525600*$C$35</f>
        <v>188.35616438356163</v>
      </c>
      <c r="D36" s="37">
        <f>D10/525600*$C$35</f>
        <v>787.67123287671234</v>
      </c>
      <c r="E36" s="37">
        <f>E10/525600*$C$35</f>
        <v>2054.794520547945</v>
      </c>
      <c r="F36" s="37">
        <f>F10/525600*$C$35</f>
        <v>3424.6575342465749</v>
      </c>
      <c r="G36" s="37">
        <f>G10/525600*$C$35</f>
        <v>4748.8584474885847</v>
      </c>
      <c r="H36" t="s">
        <v>101</v>
      </c>
    </row>
    <row r="37" spans="2:8" ht="15.75" customHeight="1" x14ac:dyDescent="0.25">
      <c r="B37" t="s">
        <v>102</v>
      </c>
      <c r="C37" s="38">
        <v>2</v>
      </c>
      <c r="D37" s="39"/>
      <c r="E37" s="39"/>
      <c r="F37" s="39"/>
      <c r="G37" s="39"/>
      <c r="H37" t="s">
        <v>103</v>
      </c>
    </row>
    <row r="38" spans="2:8" ht="15.75" customHeight="1" x14ac:dyDescent="0.25">
      <c r="B38" t="s">
        <v>104</v>
      </c>
      <c r="C38" s="37">
        <f>IF($C$37=1,$C$19,C36)</f>
        <v>188.35616438356163</v>
      </c>
      <c r="D38" s="37">
        <f>IF($C$37=1,$C$19,D36)</f>
        <v>787.67123287671234</v>
      </c>
      <c r="E38" s="37">
        <f>IF($C$37=1,$C$19,E36)</f>
        <v>2054.794520547945</v>
      </c>
      <c r="F38" s="37">
        <f>IF($C$37=1,$C$19,F36)</f>
        <v>3424.6575342465749</v>
      </c>
      <c r="G38" s="37">
        <f>IF($C$37=1,$C$19,G36)</f>
        <v>4748.8584474885847</v>
      </c>
      <c r="H38" t="s">
        <v>105</v>
      </c>
    </row>
    <row r="39" spans="2:8" ht="15.75" customHeight="1" x14ac:dyDescent="0.25">
      <c r="B39" t="s">
        <v>106</v>
      </c>
      <c r="C39" s="40">
        <v>0.999</v>
      </c>
      <c r="D39" s="40">
        <v>0.99950000000000006</v>
      </c>
      <c r="E39" s="40">
        <v>0.99950000000000006</v>
      </c>
      <c r="F39" s="40">
        <v>0.99990000000000001</v>
      </c>
      <c r="G39" s="40">
        <v>0.99990000000000001</v>
      </c>
      <c r="H39" t="s">
        <v>107</v>
      </c>
    </row>
    <row r="40" spans="2:8" ht="15.75" customHeight="1" x14ac:dyDescent="0.25">
      <c r="B40" t="s">
        <v>108</v>
      </c>
      <c r="C40" s="40">
        <v>0.99950000000000006</v>
      </c>
      <c r="D40" s="40">
        <v>0.99950000000000006</v>
      </c>
      <c r="E40" s="40">
        <v>0.99950000000000006</v>
      </c>
      <c r="F40" s="40">
        <v>0.99990000000000001</v>
      </c>
      <c r="G40" s="40">
        <v>0.99990000000000001</v>
      </c>
      <c r="H40" t="s">
        <v>109</v>
      </c>
    </row>
    <row r="41" spans="2:8" ht="15.75" customHeight="1" x14ac:dyDescent="0.25">
      <c r="B41" t="s">
        <v>110</v>
      </c>
      <c r="C41" s="40">
        <v>0.99990000000000001</v>
      </c>
      <c r="D41" s="40">
        <v>0.99990000000000001</v>
      </c>
      <c r="E41" s="40">
        <v>0.99990000000000001</v>
      </c>
      <c r="F41" s="40">
        <v>0.99990000000000001</v>
      </c>
      <c r="G41" s="40">
        <v>0.99990000000000001</v>
      </c>
      <c r="H41" t="s">
        <v>111</v>
      </c>
    </row>
    <row r="42" spans="2:8" ht="15.75" customHeight="1" x14ac:dyDescent="0.25">
      <c r="B42" t="s">
        <v>112</v>
      </c>
      <c r="C42" s="41">
        <v>85000</v>
      </c>
      <c r="D42" s="37"/>
      <c r="E42" s="37"/>
      <c r="F42" s="37"/>
      <c r="G42" s="37"/>
      <c r="H42" t="s">
        <v>113</v>
      </c>
    </row>
    <row r="43" spans="2:8" ht="15.75" customHeight="1" x14ac:dyDescent="0.25">
      <c r="B43" t="s">
        <v>114</v>
      </c>
      <c r="C43" s="41">
        <v>100000</v>
      </c>
      <c r="D43" s="37"/>
      <c r="E43" s="37"/>
      <c r="F43" s="37"/>
      <c r="G43" s="37"/>
      <c r="H43" t="s">
        <v>115</v>
      </c>
    </row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2:H3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4.42578125" defaultRowHeight="15" customHeight="1" x14ac:dyDescent="0.25"/>
  <cols>
    <col min="1" max="1" width="3" style="32" customWidth="1"/>
    <col min="2" max="2" width="44" style="32" customWidth="1"/>
    <col min="3" max="3" width="16" style="32" customWidth="1"/>
    <col min="4" max="4" width="15" style="32" customWidth="1"/>
    <col min="5" max="10" width="14" style="32" customWidth="1"/>
    <col min="11" max="11" width="10" style="32" customWidth="1"/>
    <col min="12" max="12" width="46" style="32" customWidth="1"/>
    <col min="13" max="26" width="8.7109375" style="32" customWidth="1"/>
  </cols>
  <sheetData>
    <row r="1" spans="2:18" x14ac:dyDescent="0.25"/>
    <row r="2" spans="2:18" ht="18" x14ac:dyDescent="0.25">
      <c r="B2" s="1" t="s">
        <v>116</v>
      </c>
    </row>
    <row r="3" spans="2:18" x14ac:dyDescent="0.25">
      <c r="B3" s="6" t="s">
        <v>117</v>
      </c>
    </row>
    <row r="4" spans="2:18" x14ac:dyDescent="0.25">
      <c r="N4" s="33" t="s">
        <v>118</v>
      </c>
    </row>
    <row r="5" spans="2:18" ht="31.5" customHeight="1" x14ac:dyDescent="0.25">
      <c r="B5" s="9" t="s">
        <v>119</v>
      </c>
      <c r="C5" s="9" t="s">
        <v>120</v>
      </c>
      <c r="D5" s="9" t="s">
        <v>121</v>
      </c>
      <c r="E5" s="9" t="s">
        <v>48</v>
      </c>
      <c r="F5" s="9" t="s">
        <v>49</v>
      </c>
      <c r="G5" s="9" t="s">
        <v>50</v>
      </c>
      <c r="H5" s="9" t="s">
        <v>51</v>
      </c>
      <c r="I5" s="9" t="s">
        <v>52</v>
      </c>
      <c r="J5" s="9" t="s">
        <v>122</v>
      </c>
      <c r="K5" s="9" t="s">
        <v>123</v>
      </c>
      <c r="L5" s="9" t="s">
        <v>53</v>
      </c>
      <c r="N5" s="33" t="s">
        <v>48</v>
      </c>
      <c r="O5" s="33" t="s">
        <v>49</v>
      </c>
      <c r="P5" s="33" t="s">
        <v>50</v>
      </c>
      <c r="Q5" s="33" t="s">
        <v>51</v>
      </c>
      <c r="R5" s="33" t="s">
        <v>52</v>
      </c>
    </row>
    <row r="6" spans="2:18" x14ac:dyDescent="0.25">
      <c r="B6" s="7" t="s">
        <v>124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8" ht="24" x14ac:dyDescent="0.25">
      <c r="B7" s="10" t="s">
        <v>125</v>
      </c>
      <c r="C7" s="16" t="s">
        <v>90</v>
      </c>
      <c r="D7" s="17">
        <v>5400</v>
      </c>
      <c r="E7" s="22">
        <f>IF($D7="","",$D7*INDEX(Допущения!$C$25:$G$30,MATCH($C7,Допущения!$B$25:$B$30,0),1))</f>
        <v>5400</v>
      </c>
      <c r="F7" s="22">
        <f>IF($D7="","",$D7*INDEX(Допущения!$C$25:$G$30,MATCH($C7,Допущения!$B$25:$B$30,0),2))</f>
        <v>13500</v>
      </c>
      <c r="G7" s="22">
        <f>IF($D7="","",$D7*INDEX(Допущения!$C$25:$G$30,MATCH($C7,Допущения!$B$25:$B$30,0),3))</f>
        <v>27000</v>
      </c>
      <c r="H7" s="22">
        <f>IF($D7="","",$D7*INDEX(Допущения!$C$25:$G$30,MATCH($C7,Допущения!$B$25:$B$30,0),4))</f>
        <v>37800</v>
      </c>
      <c r="I7" s="22">
        <f>IF($D7="","",$D7*INDEX(Допущения!$C$25:$G$30,MATCH($C7,Допущения!$B$25:$B$30,0),5))</f>
        <v>48600</v>
      </c>
      <c r="J7" s="22">
        <f t="shared" ref="J7:J14" si="0">SUM(E7:I7)</f>
        <v>132300</v>
      </c>
      <c r="K7" s="23"/>
      <c r="L7" s="24" t="s">
        <v>126</v>
      </c>
    </row>
    <row r="8" spans="2:18" ht="24" x14ac:dyDescent="0.25">
      <c r="B8" s="10" t="s">
        <v>127</v>
      </c>
      <c r="C8" s="16" t="s">
        <v>90</v>
      </c>
      <c r="D8" s="17">
        <v>5600</v>
      </c>
      <c r="E8" s="22">
        <f>IF($D8="","",$D8*INDEX(Допущения!$C$25:$G$30,MATCH($C8,Допущения!$B$25:$B$30,0),1))</f>
        <v>5600</v>
      </c>
      <c r="F8" s="22">
        <f>IF($D8="","",$D8*INDEX(Допущения!$C$25:$G$30,MATCH($C8,Допущения!$B$25:$B$30,0),2))</f>
        <v>14000</v>
      </c>
      <c r="G8" s="22">
        <f>IF($D8="","",$D8*INDEX(Допущения!$C$25:$G$30,MATCH($C8,Допущения!$B$25:$B$30,0),3))</f>
        <v>28000</v>
      </c>
      <c r="H8" s="22">
        <f>IF($D8="","",$D8*INDEX(Допущения!$C$25:$G$30,MATCH($C8,Допущения!$B$25:$B$30,0),4))</f>
        <v>39200</v>
      </c>
      <c r="I8" s="22">
        <f>IF($D8="","",$D8*INDEX(Допущения!$C$25:$G$30,MATCH($C8,Допущения!$B$25:$B$30,0),5))</f>
        <v>50400</v>
      </c>
      <c r="J8" s="22">
        <f t="shared" si="0"/>
        <v>137200</v>
      </c>
      <c r="K8" s="23"/>
      <c r="L8" s="24" t="s">
        <v>128</v>
      </c>
    </row>
    <row r="9" spans="2:18" x14ac:dyDescent="0.25">
      <c r="B9" s="10" t="s">
        <v>129</v>
      </c>
      <c r="C9" s="16" t="s">
        <v>90</v>
      </c>
      <c r="D9" s="17">
        <v>840</v>
      </c>
      <c r="E9" s="22">
        <f>IF($D9="","",$D9*INDEX(Допущения!$C$25:$G$30,MATCH($C9,Допущения!$B$25:$B$30,0),1))</f>
        <v>840</v>
      </c>
      <c r="F9" s="22">
        <f>IF($D9="","",$D9*INDEX(Допущения!$C$25:$G$30,MATCH($C9,Допущения!$B$25:$B$30,0),2))</f>
        <v>2100</v>
      </c>
      <c r="G9" s="22">
        <f>IF($D9="","",$D9*INDEX(Допущения!$C$25:$G$30,MATCH($C9,Допущения!$B$25:$B$30,0),3))</f>
        <v>4200</v>
      </c>
      <c r="H9" s="22">
        <f>IF($D9="","",$D9*INDEX(Допущения!$C$25:$G$30,MATCH($C9,Допущения!$B$25:$B$30,0),4))</f>
        <v>5880</v>
      </c>
      <c r="I9" s="22">
        <f>IF($D9="","",$D9*INDEX(Допущения!$C$25:$G$30,MATCH($C9,Допущения!$B$25:$B$30,0),5))</f>
        <v>7560</v>
      </c>
      <c r="J9" s="22">
        <f t="shared" si="0"/>
        <v>20580</v>
      </c>
      <c r="K9" s="23"/>
      <c r="L9" s="24" t="s">
        <v>130</v>
      </c>
    </row>
    <row r="10" spans="2:18" ht="24" x14ac:dyDescent="0.25">
      <c r="B10" s="10" t="s">
        <v>131</v>
      </c>
      <c r="C10" s="16" t="s">
        <v>90</v>
      </c>
      <c r="D10" s="17">
        <v>9800</v>
      </c>
      <c r="E10" s="22">
        <f>IF($D10="","",$D10*INDEX(Допущения!$C$25:$G$30,MATCH($C10,Допущения!$B$25:$B$30,0),1))</f>
        <v>9800</v>
      </c>
      <c r="F10" s="22">
        <f>IF($D10="","",$D10*INDEX(Допущения!$C$25:$G$30,MATCH($C10,Допущения!$B$25:$B$30,0),2))</f>
        <v>24500</v>
      </c>
      <c r="G10" s="22">
        <f>IF($D10="","",$D10*INDEX(Допущения!$C$25:$G$30,MATCH($C10,Допущения!$B$25:$B$30,0),3))</f>
        <v>49000</v>
      </c>
      <c r="H10" s="22">
        <f>IF($D10="","",$D10*INDEX(Допущения!$C$25:$G$30,MATCH($C10,Допущения!$B$25:$B$30,0),4))</f>
        <v>68600</v>
      </c>
      <c r="I10" s="22">
        <f>IF($D10="","",$D10*INDEX(Допущения!$C$25:$G$30,MATCH($C10,Допущения!$B$25:$B$30,0),5))</f>
        <v>88200</v>
      </c>
      <c r="J10" s="22">
        <f t="shared" si="0"/>
        <v>240100</v>
      </c>
      <c r="K10" s="23"/>
      <c r="L10" s="24" t="s">
        <v>132</v>
      </c>
    </row>
    <row r="11" spans="2:18" ht="36" x14ac:dyDescent="0.25">
      <c r="B11" s="10" t="s">
        <v>133</v>
      </c>
      <c r="C11" s="16" t="s">
        <v>90</v>
      </c>
      <c r="D11" s="17">
        <v>840</v>
      </c>
      <c r="E11" s="42">
        <v>840</v>
      </c>
      <c r="F11" s="42">
        <v>8000</v>
      </c>
      <c r="G11" s="42">
        <v>14000</v>
      </c>
      <c r="H11" s="42">
        <v>20000</v>
      </c>
      <c r="I11" s="42">
        <v>26000</v>
      </c>
      <c r="J11" s="22">
        <f t="shared" si="0"/>
        <v>68840</v>
      </c>
      <c r="K11" s="23"/>
      <c r="L11" s="24" t="s">
        <v>134</v>
      </c>
    </row>
    <row r="12" spans="2:18" ht="36" x14ac:dyDescent="0.25">
      <c r="B12" s="10" t="s">
        <v>135</v>
      </c>
      <c r="C12" s="16" t="s">
        <v>84</v>
      </c>
      <c r="D12" s="17">
        <v>2400</v>
      </c>
      <c r="E12" s="42">
        <v>2400</v>
      </c>
      <c r="F12" s="42">
        <v>14400</v>
      </c>
      <c r="G12" s="42">
        <v>18000</v>
      </c>
      <c r="H12" s="42">
        <v>90000</v>
      </c>
      <c r="I12" s="42">
        <v>115000</v>
      </c>
      <c r="J12" s="22">
        <f t="shared" si="0"/>
        <v>239800</v>
      </c>
      <c r="K12" s="23"/>
      <c r="L12" s="24" t="s">
        <v>136</v>
      </c>
    </row>
    <row r="13" spans="2:18" ht="48" x14ac:dyDescent="0.25">
      <c r="B13" s="10" t="s">
        <v>137</v>
      </c>
      <c r="C13" s="16" t="s">
        <v>90</v>
      </c>
      <c r="D13" s="17">
        <v>11900</v>
      </c>
      <c r="E13" s="22">
        <f>IF($D13="","",$D13*INDEX(Допущения!$C$25:$G$30,MATCH($C13,Допущения!$B$25:$B$30,0),1))</f>
        <v>11900</v>
      </c>
      <c r="F13" s="22">
        <f>IF($D13="","",$D13*INDEX(Допущения!$C$25:$G$30,MATCH($C13,Допущения!$B$25:$B$30,0),2))</f>
        <v>29750</v>
      </c>
      <c r="G13" s="22">
        <f>IF($D13="","",$D13*INDEX(Допущения!$C$25:$G$30,MATCH($C13,Допущения!$B$25:$B$30,0),3))</f>
        <v>59500</v>
      </c>
      <c r="H13" s="22">
        <f>IF($D13="","",$D13*INDEX(Допущения!$C$25:$G$30,MATCH($C13,Допущения!$B$25:$B$30,0),4))</f>
        <v>83300</v>
      </c>
      <c r="I13" s="22">
        <f>IF($D13="","",$D13*INDEX(Допущения!$C$25:$G$30,MATCH($C13,Допущения!$B$25:$B$30,0),5))</f>
        <v>107100</v>
      </c>
      <c r="J13" s="22">
        <f t="shared" si="0"/>
        <v>291550</v>
      </c>
      <c r="K13" s="23"/>
      <c r="L13" s="24" t="s">
        <v>138</v>
      </c>
    </row>
    <row r="14" spans="2:18" ht="48" x14ac:dyDescent="0.25">
      <c r="B14" s="10" t="s">
        <v>139</v>
      </c>
      <c r="C14" s="16" t="s">
        <v>90</v>
      </c>
      <c r="D14" s="17">
        <v>7480</v>
      </c>
      <c r="E14" s="22">
        <f>IF($D14="","",$D14*INDEX(Допущения!$C$25:$G$30,MATCH($C14,Допущения!$B$25:$B$30,0),1))</f>
        <v>7480</v>
      </c>
      <c r="F14" s="22">
        <f>IF($D14="","",$D14*INDEX(Допущения!$C$25:$G$30,MATCH($C14,Допущения!$B$25:$B$30,0),2))</f>
        <v>18700</v>
      </c>
      <c r="G14" s="22">
        <f>IF($D14="","",$D14*INDEX(Допущения!$C$25:$G$30,MATCH($C14,Допущения!$B$25:$B$30,0),3))</f>
        <v>37400</v>
      </c>
      <c r="H14" s="22">
        <f>IF($D14="","",$D14*INDEX(Допущения!$C$25:$G$30,MATCH($C14,Допущения!$B$25:$B$30,0),4))</f>
        <v>52360</v>
      </c>
      <c r="I14" s="22">
        <f>IF($D14="","",$D14*INDEX(Допущения!$C$25:$G$30,MATCH($C14,Допущения!$B$25:$B$30,0),5))</f>
        <v>67320</v>
      </c>
      <c r="J14" s="22">
        <f t="shared" si="0"/>
        <v>183260</v>
      </c>
      <c r="K14" s="23"/>
      <c r="L14" s="24" t="s">
        <v>140</v>
      </c>
    </row>
    <row r="15" spans="2:18" x14ac:dyDescent="0.25">
      <c r="B15" s="25" t="s">
        <v>141</v>
      </c>
      <c r="C15" s="26"/>
      <c r="D15" s="26"/>
      <c r="E15" s="27">
        <f t="shared" ref="E15:J15" si="1">SUM(E7:E14)</f>
        <v>44260</v>
      </c>
      <c r="F15" s="27">
        <f t="shared" si="1"/>
        <v>124950</v>
      </c>
      <c r="G15" s="27">
        <f t="shared" si="1"/>
        <v>237100</v>
      </c>
      <c r="H15" s="27">
        <f t="shared" si="1"/>
        <v>397140</v>
      </c>
      <c r="I15" s="27">
        <f t="shared" si="1"/>
        <v>510180</v>
      </c>
      <c r="J15" s="27">
        <f t="shared" si="1"/>
        <v>1313630</v>
      </c>
      <c r="K15" s="28">
        <f>IFERROR(J15/$J$51,0)</f>
        <v>1.7935224613639389E-2</v>
      </c>
      <c r="L15" s="26"/>
    </row>
    <row r="16" spans="2:18" x14ac:dyDescent="0.25">
      <c r="C16" s="29"/>
    </row>
    <row r="17" spans="2:12" x14ac:dyDescent="0.25">
      <c r="B17" s="7" t="s">
        <v>142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ht="24" x14ac:dyDescent="0.25">
      <c r="B18" s="10" t="s">
        <v>143</v>
      </c>
      <c r="C18" s="16" t="s">
        <v>90</v>
      </c>
      <c r="D18" s="17">
        <v>1800</v>
      </c>
      <c r="E18" s="22">
        <f>IF($D18="","",$D18*INDEX(Допущения!$C$25:$G$30,MATCH($C18,Допущения!$B$25:$B$30,0),1))</f>
        <v>1800</v>
      </c>
      <c r="F18" s="22">
        <f>IF($D18="","",$D18*INDEX(Допущения!$C$25:$G$30,MATCH($C18,Допущения!$B$25:$B$30,0),2))</f>
        <v>4500</v>
      </c>
      <c r="G18" s="22">
        <f>IF($D18="","",$D18*INDEX(Допущения!$C$25:$G$30,MATCH($C18,Допущения!$B$25:$B$30,0),3))</f>
        <v>9000</v>
      </c>
      <c r="H18" s="22">
        <f>IF($D18="","",$D18*INDEX(Допущения!$C$25:$G$30,MATCH($C18,Допущения!$B$25:$B$30,0),4))</f>
        <v>12600</v>
      </c>
      <c r="I18" s="22">
        <f>IF($D18="","",$D18*INDEX(Допущения!$C$25:$G$30,MATCH($C18,Допущения!$B$25:$B$30,0),5))</f>
        <v>16200</v>
      </c>
      <c r="J18" s="22">
        <f t="shared" ref="J18:J23" si="2">SUM(E18:I18)</f>
        <v>44100</v>
      </c>
      <c r="K18" s="23"/>
      <c r="L18" s="24" t="s">
        <v>144</v>
      </c>
    </row>
    <row r="19" spans="2:12" x14ac:dyDescent="0.25">
      <c r="B19" s="10" t="s">
        <v>145</v>
      </c>
      <c r="C19" s="16" t="s">
        <v>86</v>
      </c>
      <c r="D19" s="17">
        <v>1200</v>
      </c>
      <c r="E19" s="22">
        <f>IF($D19="","",$D19*INDEX(Допущения!$C$25:$G$30,MATCH($C19,Допущения!$B$25:$B$30,0),1))</f>
        <v>1200</v>
      </c>
      <c r="F19" s="22">
        <f>IF($D19="","",$D19*INDEX(Допущения!$C$25:$G$30,MATCH($C19,Допущения!$B$25:$B$30,0),2))</f>
        <v>1260</v>
      </c>
      <c r="G19" s="22">
        <f>IF($D19="","",$D19*INDEX(Допущения!$C$25:$G$30,MATCH($C19,Допущения!$B$25:$B$30,0),3))</f>
        <v>1323</v>
      </c>
      <c r="H19" s="22">
        <f>IF($D19="","",$D19*INDEX(Допущения!$C$25:$G$30,MATCH($C19,Допущения!$B$25:$B$30,0),4))</f>
        <v>1389.15</v>
      </c>
      <c r="I19" s="22">
        <f>IF($D19="","",$D19*INDEX(Допущения!$C$25:$G$30,MATCH($C19,Допущения!$B$25:$B$30,0),5))</f>
        <v>1458.6075000000003</v>
      </c>
      <c r="J19" s="22">
        <f t="shared" si="2"/>
        <v>6630.7574999999997</v>
      </c>
      <c r="K19" s="23"/>
      <c r="L19" s="24" t="s">
        <v>146</v>
      </c>
    </row>
    <row r="20" spans="2:12" x14ac:dyDescent="0.25">
      <c r="B20" s="10" t="s">
        <v>147</v>
      </c>
      <c r="C20" s="16" t="s">
        <v>90</v>
      </c>
      <c r="D20" s="17">
        <v>600</v>
      </c>
      <c r="E20" s="22">
        <f>IF($D20="","",$D20*INDEX(Допущения!$C$25:$G$30,MATCH($C20,Допущения!$B$25:$B$30,0),1))</f>
        <v>600</v>
      </c>
      <c r="F20" s="22">
        <f>IF($D20="","",$D20*INDEX(Допущения!$C$25:$G$30,MATCH($C20,Допущения!$B$25:$B$30,0),2))</f>
        <v>1500</v>
      </c>
      <c r="G20" s="22">
        <f>IF($D20="","",$D20*INDEX(Допущения!$C$25:$G$30,MATCH($C20,Допущения!$B$25:$B$30,0),3))</f>
        <v>3000</v>
      </c>
      <c r="H20" s="22">
        <f>IF($D20="","",$D20*INDEX(Допущения!$C$25:$G$30,MATCH($C20,Допущения!$B$25:$B$30,0),4))</f>
        <v>4200</v>
      </c>
      <c r="I20" s="22">
        <f>IF($D20="","",$D20*INDEX(Допущения!$C$25:$G$30,MATCH($C20,Допущения!$B$25:$B$30,0),5))</f>
        <v>5400</v>
      </c>
      <c r="J20" s="22">
        <f t="shared" si="2"/>
        <v>14700</v>
      </c>
      <c r="K20" s="23"/>
      <c r="L20" s="24" t="s">
        <v>148</v>
      </c>
    </row>
    <row r="21" spans="2:12" ht="15.75" customHeight="1" x14ac:dyDescent="0.25">
      <c r="B21" s="10" t="s">
        <v>149</v>
      </c>
      <c r="C21" s="16" t="s">
        <v>86</v>
      </c>
      <c r="D21" s="17">
        <v>600</v>
      </c>
      <c r="E21" s="22">
        <f>IF($D21="","",$D21*INDEX(Допущения!$C$25:$G$30,MATCH($C21,Допущения!$B$25:$B$30,0),1))</f>
        <v>600</v>
      </c>
      <c r="F21" s="22">
        <f>IF($D21="","",$D21*INDEX(Допущения!$C$25:$G$30,MATCH($C21,Допущения!$B$25:$B$30,0),2))</f>
        <v>630</v>
      </c>
      <c r="G21" s="22">
        <f>IF($D21="","",$D21*INDEX(Допущения!$C$25:$G$30,MATCH($C21,Допущения!$B$25:$B$30,0),3))</f>
        <v>661.5</v>
      </c>
      <c r="H21" s="22">
        <f>IF($D21="","",$D21*INDEX(Допущения!$C$25:$G$30,MATCH($C21,Допущения!$B$25:$B$30,0),4))</f>
        <v>694.57500000000005</v>
      </c>
      <c r="I21" s="22">
        <f>IF($D21="","",$D21*INDEX(Допущения!$C$25:$G$30,MATCH($C21,Допущения!$B$25:$B$30,0),5))</f>
        <v>729.30375000000015</v>
      </c>
      <c r="J21" s="22">
        <f t="shared" si="2"/>
        <v>3315.3787499999999</v>
      </c>
      <c r="K21" s="23"/>
      <c r="L21" s="24" t="s">
        <v>150</v>
      </c>
    </row>
    <row r="22" spans="2:12" ht="15.75" customHeight="1" x14ac:dyDescent="0.25">
      <c r="B22" s="10" t="s">
        <v>151</v>
      </c>
      <c r="C22" s="16" t="s">
        <v>86</v>
      </c>
      <c r="D22" s="17">
        <v>1800</v>
      </c>
      <c r="E22" s="22">
        <f>IF($D22="","",$D22*INDEX(Допущения!$C$25:$G$30,MATCH($C22,Допущения!$B$25:$B$30,0),1))</f>
        <v>1800</v>
      </c>
      <c r="F22" s="22">
        <f>IF($D22="","",$D22*INDEX(Допущения!$C$25:$G$30,MATCH($C22,Допущения!$B$25:$B$30,0),2))</f>
        <v>1890</v>
      </c>
      <c r="G22" s="22">
        <f>IF($D22="","",$D22*INDEX(Допущения!$C$25:$G$30,MATCH($C22,Допущения!$B$25:$B$30,0),3))</f>
        <v>1984.5</v>
      </c>
      <c r="H22" s="22">
        <f>IF($D22="","",$D22*INDEX(Допущения!$C$25:$G$30,MATCH($C22,Допущения!$B$25:$B$30,0),4))</f>
        <v>2083.7250000000004</v>
      </c>
      <c r="I22" s="22">
        <f>IF($D22="","",$D22*INDEX(Допущения!$C$25:$G$30,MATCH($C22,Допущения!$B$25:$B$30,0),5))</f>
        <v>2187.9112500000006</v>
      </c>
      <c r="J22" s="22">
        <f t="shared" si="2"/>
        <v>9946.1362500000014</v>
      </c>
      <c r="K22" s="23"/>
      <c r="L22" s="24" t="s">
        <v>152</v>
      </c>
    </row>
    <row r="23" spans="2:12" ht="15.75" customHeight="1" x14ac:dyDescent="0.25">
      <c r="B23" s="10" t="s">
        <v>153</v>
      </c>
      <c r="C23" s="16" t="s">
        <v>86</v>
      </c>
      <c r="D23" s="17">
        <v>1800</v>
      </c>
      <c r="E23" s="22">
        <f>IF($D23="","",$D23*INDEX(Допущения!$C$25:$G$30,MATCH($C23,Допущения!$B$25:$B$30,0),1))</f>
        <v>1800</v>
      </c>
      <c r="F23" s="22">
        <f>IF($D23="","",$D23*INDEX(Допущения!$C$25:$G$30,MATCH($C23,Допущения!$B$25:$B$30,0),2))</f>
        <v>1890</v>
      </c>
      <c r="G23" s="22">
        <f>IF($D23="","",$D23*INDEX(Допущения!$C$25:$G$30,MATCH($C23,Допущения!$B$25:$B$30,0),3))</f>
        <v>1984.5</v>
      </c>
      <c r="H23" s="22">
        <f>IF($D23="","",$D23*INDEX(Допущения!$C$25:$G$30,MATCH($C23,Допущения!$B$25:$B$30,0),4))</f>
        <v>2083.7250000000004</v>
      </c>
      <c r="I23" s="22">
        <f>IF($D23="","",$D23*INDEX(Допущения!$C$25:$G$30,MATCH($C23,Допущения!$B$25:$B$30,0),5))</f>
        <v>2187.9112500000006</v>
      </c>
      <c r="J23" s="22">
        <f t="shared" si="2"/>
        <v>9946.1362500000014</v>
      </c>
      <c r="K23" s="23"/>
      <c r="L23" s="24" t="s">
        <v>154</v>
      </c>
    </row>
    <row r="24" spans="2:12" ht="15.75" customHeight="1" x14ac:dyDescent="0.25">
      <c r="B24" s="25" t="s">
        <v>141</v>
      </c>
      <c r="C24" s="26"/>
      <c r="D24" s="26"/>
      <c r="E24" s="27">
        <f t="shared" ref="E24:J24" si="3">SUM(E18:E23)</f>
        <v>7800</v>
      </c>
      <c r="F24" s="27">
        <f t="shared" si="3"/>
        <v>11670</v>
      </c>
      <c r="G24" s="27">
        <f t="shared" si="3"/>
        <v>17953.5</v>
      </c>
      <c r="H24" s="27">
        <f t="shared" si="3"/>
        <v>23051.175000000003</v>
      </c>
      <c r="I24" s="27">
        <f t="shared" si="3"/>
        <v>28163.733750000003</v>
      </c>
      <c r="J24" s="27">
        <f t="shared" si="3"/>
        <v>88638.408749999988</v>
      </c>
      <c r="K24" s="28">
        <f>IFERROR(J24/$J$51,0)</f>
        <v>1.210195999122149E-3</v>
      </c>
      <c r="L24" s="26"/>
    </row>
    <row r="25" spans="2:12" ht="15.75" customHeight="1" x14ac:dyDescent="0.25">
      <c r="C25" s="29"/>
    </row>
    <row r="26" spans="2:12" ht="15.75" customHeight="1" x14ac:dyDescent="0.25">
      <c r="B26" s="7" t="s">
        <v>155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5">
      <c r="B27" s="10" t="s">
        <v>156</v>
      </c>
      <c r="C27" s="16" t="s">
        <v>94</v>
      </c>
      <c r="D27" s="17">
        <v>594000</v>
      </c>
      <c r="E27" s="22">
        <f>IF($D27="","",$D27*INDEX(Допущения!$C$25:$G$30,MATCH($C27,Допущения!$B$25:$B$30,0),1))</f>
        <v>594000</v>
      </c>
      <c r="F27" s="22">
        <f>IF($D27="","",$D27*INDEX(Допущения!$C$25:$G$30,MATCH($C27,Допущения!$B$25:$B$30,0),2))</f>
        <v>2484000</v>
      </c>
      <c r="G27" s="22">
        <f>IF($D27="","",$D27*INDEX(Допущения!$C$25:$G$30,MATCH($C27,Допущения!$B$25:$B$30,0),3))</f>
        <v>6479999.9999999991</v>
      </c>
      <c r="H27" s="22">
        <f>IF($D27="","",$D27*INDEX(Допущения!$C$25:$G$30,MATCH($C27,Допущения!$B$25:$B$30,0),4))</f>
        <v>10800000.000000002</v>
      </c>
      <c r="I27" s="22">
        <f>IF($D27="","",$D27*INDEX(Допущения!$C$25:$G$30,MATCH($C27,Допущения!$B$25:$B$30,0),5))</f>
        <v>14976000</v>
      </c>
      <c r="J27" s="22">
        <f>SUM(E27:I27)</f>
        <v>35334000</v>
      </c>
      <c r="K27" s="23"/>
      <c r="L27" s="24" t="s">
        <v>157</v>
      </c>
    </row>
    <row r="28" spans="2:12" ht="15.75" customHeight="1" x14ac:dyDescent="0.25">
      <c r="B28" s="10" t="s">
        <v>158</v>
      </c>
      <c r="C28" s="16" t="s">
        <v>92</v>
      </c>
      <c r="D28" s="17">
        <v>30000</v>
      </c>
      <c r="E28" s="22">
        <f>IF($D28="","",$D28*INDEX(Допущения!$C$25:$G$30,MATCH($C28,Допущения!$B$25:$B$30,0),1))</f>
        <v>30000</v>
      </c>
      <c r="F28" s="22">
        <f>IF($D28="","",$D28*INDEX(Допущения!$C$25:$G$30,MATCH($C28,Допущения!$B$25:$B$30,0),2))</f>
        <v>120000</v>
      </c>
      <c r="G28" s="22">
        <f>IF($D28="","",$D28*INDEX(Допущения!$C$25:$G$30,MATCH($C28,Допущения!$B$25:$B$30,0),3))</f>
        <v>300000</v>
      </c>
      <c r="H28" s="22">
        <f>IF($D28="","",$D28*INDEX(Допущения!$C$25:$G$30,MATCH($C28,Допущения!$B$25:$B$30,0),4))</f>
        <v>480000</v>
      </c>
      <c r="I28" s="22">
        <f>IF($D28="","",$D28*INDEX(Допущения!$C$25:$G$30,MATCH($C28,Допущения!$B$25:$B$30,0),5))</f>
        <v>640000</v>
      </c>
      <c r="J28" s="22">
        <f>SUM(E28:I28)</f>
        <v>1570000</v>
      </c>
      <c r="K28" s="23"/>
      <c r="L28" s="24" t="s">
        <v>159</v>
      </c>
    </row>
    <row r="29" spans="2:12" ht="15.75" customHeight="1" x14ac:dyDescent="0.25">
      <c r="B29" s="10" t="s">
        <v>160</v>
      </c>
      <c r="C29" s="16" t="s">
        <v>92</v>
      </c>
      <c r="D29" s="17">
        <v>16500</v>
      </c>
      <c r="E29" s="22">
        <f>IF($D29="","",$D29*INDEX(Допущения!$C$25:$G$30,MATCH($C29,Допущения!$B$25:$B$30,0),1))</f>
        <v>16500</v>
      </c>
      <c r="F29" s="22">
        <f>IF($D29="","",$D29*INDEX(Допущения!$C$25:$G$30,MATCH($C29,Допущения!$B$25:$B$30,0),2))</f>
        <v>66000</v>
      </c>
      <c r="G29" s="22">
        <f>IF($D29="","",$D29*INDEX(Допущения!$C$25:$G$30,MATCH($C29,Допущения!$B$25:$B$30,0),3))</f>
        <v>165000</v>
      </c>
      <c r="H29" s="22">
        <f>IF($D29="","",$D29*INDEX(Допущения!$C$25:$G$30,MATCH($C29,Допущения!$B$25:$B$30,0),4))</f>
        <v>264000</v>
      </c>
      <c r="I29" s="22">
        <f>IF($D29="","",$D29*INDEX(Допущения!$C$25:$G$30,MATCH($C29,Допущения!$B$25:$B$30,0),5))</f>
        <v>352000</v>
      </c>
      <c r="J29" s="22">
        <f>SUM(E29:I29)</f>
        <v>863500</v>
      </c>
      <c r="K29" s="23"/>
      <c r="L29" s="24" t="s">
        <v>161</v>
      </c>
    </row>
    <row r="30" spans="2:12" ht="15.75" customHeight="1" x14ac:dyDescent="0.25">
      <c r="B30" s="10" t="s">
        <v>162</v>
      </c>
      <c r="C30" s="16" t="s">
        <v>92</v>
      </c>
      <c r="D30" s="17">
        <v>225000</v>
      </c>
      <c r="E30" s="22">
        <f>IF($D30="","",$D30*INDEX(Допущения!$C$25:$G$30,MATCH($C30,Допущения!$B$25:$B$30,0),1))</f>
        <v>225000</v>
      </c>
      <c r="F30" s="22">
        <f>IF($D30="","",$D30*INDEX(Допущения!$C$25:$G$30,MATCH($C30,Допущения!$B$25:$B$30,0),2))</f>
        <v>900000</v>
      </c>
      <c r="G30" s="22">
        <f>IF($D30="","",$D30*INDEX(Допущения!$C$25:$G$30,MATCH($C30,Допущения!$B$25:$B$30,0),3))</f>
        <v>2250000</v>
      </c>
      <c r="H30" s="22">
        <f>IF($D30="","",$D30*INDEX(Допущения!$C$25:$G$30,MATCH($C30,Допущения!$B$25:$B$30,0),4))</f>
        <v>3600000</v>
      </c>
      <c r="I30" s="22">
        <f>IF($D30="","",$D30*INDEX(Допущения!$C$25:$G$30,MATCH($C30,Допущения!$B$25:$B$30,0),5))</f>
        <v>4800000</v>
      </c>
      <c r="J30" s="22">
        <f>SUM(E30:I30)</f>
        <v>11775000</v>
      </c>
      <c r="K30" s="23"/>
      <c r="L30" s="24" t="s">
        <v>163</v>
      </c>
    </row>
    <row r="31" spans="2:12" ht="15.75" customHeight="1" x14ac:dyDescent="0.25">
      <c r="B31" s="10" t="s">
        <v>164</v>
      </c>
      <c r="C31" s="16" t="s">
        <v>92</v>
      </c>
      <c r="D31" s="17">
        <v>10500</v>
      </c>
      <c r="E31" s="22">
        <f>IF($D31="","",$D31*INDEX(Допущения!$C$25:$G$30,MATCH($C31,Допущения!$B$25:$B$30,0),1))</f>
        <v>10500</v>
      </c>
      <c r="F31" s="22">
        <f>IF($D31="","",$D31*INDEX(Допущения!$C$25:$G$30,MATCH($C31,Допущения!$B$25:$B$30,0),2))</f>
        <v>42000</v>
      </c>
      <c r="G31" s="22">
        <f>IF($D31="","",$D31*INDEX(Допущения!$C$25:$G$30,MATCH($C31,Допущения!$B$25:$B$30,0),3))</f>
        <v>105000</v>
      </c>
      <c r="H31" s="22">
        <f>IF($D31="","",$D31*INDEX(Допущения!$C$25:$G$30,MATCH($C31,Допущения!$B$25:$B$30,0),4))</f>
        <v>168000</v>
      </c>
      <c r="I31" s="22">
        <f>IF($D31="","",$D31*INDEX(Допущения!$C$25:$G$30,MATCH($C31,Допущения!$B$25:$B$30,0),5))</f>
        <v>224000</v>
      </c>
      <c r="J31" s="22">
        <f>SUM(E31:I31)</f>
        <v>549500</v>
      </c>
      <c r="K31" s="23"/>
      <c r="L31" s="24" t="s">
        <v>165</v>
      </c>
    </row>
    <row r="32" spans="2:12" ht="15.75" customHeight="1" x14ac:dyDescent="0.25">
      <c r="B32" s="25" t="s">
        <v>141</v>
      </c>
      <c r="C32" s="26"/>
      <c r="D32" s="26"/>
      <c r="E32" s="27">
        <f t="shared" ref="E32:J32" si="4">SUM(E27:E31)</f>
        <v>876000</v>
      </c>
      <c r="F32" s="27">
        <f t="shared" si="4"/>
        <v>3612000</v>
      </c>
      <c r="G32" s="27">
        <f t="shared" si="4"/>
        <v>9300000</v>
      </c>
      <c r="H32" s="27">
        <f t="shared" si="4"/>
        <v>15312000.000000002</v>
      </c>
      <c r="I32" s="27">
        <f t="shared" si="4"/>
        <v>20992000</v>
      </c>
      <c r="J32" s="27">
        <f t="shared" si="4"/>
        <v>50092000</v>
      </c>
      <c r="K32" s="28">
        <f>IFERROR(J32/$J$51,0)</f>
        <v>0.68391500753364665</v>
      </c>
      <c r="L32" s="26"/>
    </row>
    <row r="33" spans="2:18" ht="15.75" customHeight="1" x14ac:dyDescent="0.25">
      <c r="C33" s="29"/>
    </row>
    <row r="34" spans="2:18" ht="15.75" customHeight="1" x14ac:dyDescent="0.25">
      <c r="B34" s="7" t="s">
        <v>166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8" ht="15.75" customHeight="1" x14ac:dyDescent="0.25">
      <c r="B35" s="10" t="s">
        <v>167</v>
      </c>
      <c r="C35" s="16" t="s">
        <v>88</v>
      </c>
      <c r="D35" s="17">
        <f>N35*Допущения!$C$42</f>
        <v>510000</v>
      </c>
      <c r="E35" s="22">
        <f>N35*Допущения!$C$42*Допущения!C$27</f>
        <v>510000</v>
      </c>
      <c r="F35" s="22">
        <f>O35*Допущения!$C$42*Допущения!D$27</f>
        <v>841500.00000000012</v>
      </c>
      <c r="G35" s="22">
        <f>P35*Допущения!$C$42*Допущения!E$27</f>
        <v>1439900.0000000002</v>
      </c>
      <c r="H35" s="22">
        <f>Q35*Допущения!$C$42*Допущения!F$27</f>
        <v>2036430.0000000007</v>
      </c>
      <c r="I35" s="22">
        <f>R35*Допущения!$C$42*Допущения!G$27</f>
        <v>2737867.0000000014</v>
      </c>
      <c r="J35" s="22">
        <f>SUM(E35:I35)</f>
        <v>7565697.0000000019</v>
      </c>
      <c r="K35" s="23"/>
      <c r="L35" s="24" t="s">
        <v>168</v>
      </c>
      <c r="N35" s="43">
        <v>6</v>
      </c>
      <c r="O35" s="43">
        <v>9</v>
      </c>
      <c r="P35" s="43">
        <v>14</v>
      </c>
      <c r="Q35" s="43">
        <v>18</v>
      </c>
      <c r="R35" s="43">
        <v>22</v>
      </c>
    </row>
    <row r="36" spans="2:18" ht="15.75" customHeight="1" x14ac:dyDescent="0.25">
      <c r="B36" s="10" t="s">
        <v>169</v>
      </c>
      <c r="C36" s="16" t="s">
        <v>88</v>
      </c>
      <c r="D36" s="17">
        <f>N36*Допущения!$C$43</f>
        <v>100000</v>
      </c>
      <c r="E36" s="22">
        <f>N36*Допущения!$C$43*Допущения!C$27</f>
        <v>100000</v>
      </c>
      <c r="F36" s="22">
        <f>O36*Допущения!$C$43*Допущения!D$27</f>
        <v>220000.00000000003</v>
      </c>
      <c r="G36" s="22">
        <f>P36*Допущения!$C$43*Допущения!E$27</f>
        <v>363000.00000000006</v>
      </c>
      <c r="H36" s="22">
        <f>Q36*Допущения!$C$43*Допущения!F$27</f>
        <v>665500.00000000023</v>
      </c>
      <c r="I36" s="22">
        <f>R36*Допущения!$C$43*Допущения!G$27</f>
        <v>732050.00000000035</v>
      </c>
      <c r="J36" s="22">
        <f>SUM(E36:I36)</f>
        <v>2080550.0000000005</v>
      </c>
      <c r="K36" s="23"/>
      <c r="L36" s="24" t="s">
        <v>170</v>
      </c>
      <c r="N36" s="43">
        <v>1</v>
      </c>
      <c r="O36" s="43">
        <v>2</v>
      </c>
      <c r="P36" s="43">
        <v>3</v>
      </c>
      <c r="Q36" s="43">
        <v>5</v>
      </c>
      <c r="R36" s="43">
        <v>5</v>
      </c>
    </row>
    <row r="37" spans="2:18" ht="15.75" customHeight="1" x14ac:dyDescent="0.25">
      <c r="B37" s="10" t="s">
        <v>171</v>
      </c>
      <c r="C37" s="16" t="s">
        <v>88</v>
      </c>
      <c r="D37" s="17">
        <v>30000</v>
      </c>
      <c r="E37" s="42">
        <v>30000</v>
      </c>
      <c r="F37" s="42">
        <v>60000</v>
      </c>
      <c r="G37" s="42">
        <v>90000</v>
      </c>
      <c r="H37" s="42">
        <v>120000</v>
      </c>
      <c r="I37" s="42">
        <v>140000</v>
      </c>
      <c r="J37" s="22">
        <f>SUM(E37:I37)</f>
        <v>440000</v>
      </c>
      <c r="K37" s="23"/>
      <c r="L37" s="24" t="s">
        <v>172</v>
      </c>
    </row>
    <row r="38" spans="2:18" ht="15.75" customHeight="1" x14ac:dyDescent="0.25">
      <c r="B38" s="10" t="s">
        <v>173</v>
      </c>
      <c r="C38" s="16" t="s">
        <v>88</v>
      </c>
      <c r="D38" s="17">
        <v>300000</v>
      </c>
      <c r="E38" s="22">
        <f>IF($D38="","",$D38*INDEX(Допущения!$C$25:$G$30,MATCH($C38,Допущения!$B$25:$B$30,0),1))</f>
        <v>300000</v>
      </c>
      <c r="F38" s="22">
        <f>IF($D38="","",$D38*INDEX(Допущения!$C$25:$G$30,MATCH($C38,Допущения!$B$25:$B$30,0),2))</f>
        <v>330000</v>
      </c>
      <c r="G38" s="22">
        <f>IF($D38="","",$D38*INDEX(Допущения!$C$25:$G$30,MATCH($C38,Допущения!$B$25:$B$30,0),3))</f>
        <v>363000.00000000006</v>
      </c>
      <c r="H38" s="22">
        <f>IF($D38="","",$D38*INDEX(Допущения!$C$25:$G$30,MATCH($C38,Допущения!$B$25:$B$30,0),4))</f>
        <v>399300.00000000012</v>
      </c>
      <c r="I38" s="22">
        <f>IF($D38="","",$D38*INDEX(Допущения!$C$25:$G$30,MATCH($C38,Допущения!$B$25:$B$30,0),5))</f>
        <v>439230.00000000017</v>
      </c>
      <c r="J38" s="22">
        <f>SUM(E38:I38)</f>
        <v>1831530.0000000002</v>
      </c>
      <c r="K38" s="23"/>
      <c r="L38" s="24" t="s">
        <v>174</v>
      </c>
    </row>
    <row r="39" spans="2:18" ht="15.75" customHeight="1" x14ac:dyDescent="0.25">
      <c r="B39" s="10"/>
      <c r="C39" s="16" t="s">
        <v>84</v>
      </c>
      <c r="D39" s="17"/>
      <c r="E39" s="22" t="str">
        <f>IF($D39="","",$D39*INDEX(Допущения!$C$25:$G$30,MATCH($C39,Допущения!$B$25:$B$30,0),1))</f>
        <v/>
      </c>
      <c r="F39" s="22" t="str">
        <f>IF($D39="","",$D39*INDEX(Допущения!$C$25:$G$30,MATCH($C39,Допущения!$B$25:$B$30,0),2))</f>
        <v/>
      </c>
      <c r="G39" s="22" t="str">
        <f>IF($D39="","",$D39*INDEX(Допущения!$C$25:$G$30,MATCH($C39,Допущения!$B$25:$B$30,0),3))</f>
        <v/>
      </c>
      <c r="H39" s="22" t="str">
        <f>IF($D39="","",$D39*INDEX(Допущения!$C$25:$G$30,MATCH($C39,Допущения!$B$25:$B$30,0),4))</f>
        <v/>
      </c>
      <c r="I39" s="22" t="str">
        <f>IF($D39="","",$D39*INDEX(Допущения!$C$25:$G$30,MATCH($C39,Допущения!$B$25:$B$30,0),5))</f>
        <v/>
      </c>
      <c r="J39" s="22">
        <f>SUM(E39:I39)</f>
        <v>0</v>
      </c>
      <c r="K39" s="23"/>
      <c r="L39" s="24" t="s">
        <v>175</v>
      </c>
    </row>
    <row r="40" spans="2:18" ht="15.75" customHeight="1" x14ac:dyDescent="0.25">
      <c r="B40" s="25" t="s">
        <v>141</v>
      </c>
      <c r="C40" s="26"/>
      <c r="D40" s="26"/>
      <c r="E40" s="27">
        <f t="shared" ref="E40:J40" si="5">SUM(E35:E39)</f>
        <v>940000</v>
      </c>
      <c r="F40" s="27">
        <f t="shared" si="5"/>
        <v>1451500.0000000002</v>
      </c>
      <c r="G40" s="27">
        <f t="shared" si="5"/>
        <v>2255900.0000000005</v>
      </c>
      <c r="H40" s="27">
        <f t="shared" si="5"/>
        <v>3221230.0000000009</v>
      </c>
      <c r="I40" s="27">
        <f t="shared" si="5"/>
        <v>4049147.0000000019</v>
      </c>
      <c r="J40" s="27">
        <f t="shared" si="5"/>
        <v>11917777.000000002</v>
      </c>
      <c r="K40" s="28">
        <f>IFERROR(J40/$J$51,0)</f>
        <v>0.16271553435157954</v>
      </c>
      <c r="L40" s="26"/>
    </row>
    <row r="41" spans="2:18" ht="15.75" customHeight="1" x14ac:dyDescent="0.25">
      <c r="C41" s="29"/>
    </row>
    <row r="42" spans="2:18" ht="15.75" customHeight="1" x14ac:dyDescent="0.25">
      <c r="B42" s="7" t="s">
        <v>176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2:18" ht="15.75" customHeight="1" x14ac:dyDescent="0.25">
      <c r="B43" s="10" t="s">
        <v>177</v>
      </c>
      <c r="C43" s="16" t="s">
        <v>84</v>
      </c>
      <c r="D43" s="17">
        <v>30000</v>
      </c>
      <c r="E43" s="42">
        <v>30000</v>
      </c>
      <c r="F43" s="42">
        <v>15000</v>
      </c>
      <c r="G43" s="42">
        <v>15750</v>
      </c>
      <c r="H43" s="42">
        <v>16538</v>
      </c>
      <c r="I43" s="42">
        <v>17364</v>
      </c>
      <c r="J43" s="22">
        <f>SUM(E43:I43)</f>
        <v>94652</v>
      </c>
      <c r="K43" s="23"/>
      <c r="L43" s="24" t="s">
        <v>178</v>
      </c>
    </row>
    <row r="44" spans="2:18" ht="15.75" customHeight="1" x14ac:dyDescent="0.25">
      <c r="B44" s="10" t="s">
        <v>179</v>
      </c>
      <c r="C44" s="16" t="s">
        <v>86</v>
      </c>
      <c r="D44" s="17">
        <v>15000</v>
      </c>
      <c r="E44" s="22">
        <f>IF($D44="","",$D44*INDEX(Допущения!$C$25:$G$30,MATCH($C44,Допущения!$B$25:$B$30,0),1))</f>
        <v>15000</v>
      </c>
      <c r="F44" s="22">
        <f>IF($D44="","",$D44*INDEX(Допущения!$C$25:$G$30,MATCH($C44,Допущения!$B$25:$B$30,0),2))</f>
        <v>15750</v>
      </c>
      <c r="G44" s="22">
        <f>IF($D44="","",$D44*INDEX(Допущения!$C$25:$G$30,MATCH($C44,Допущения!$B$25:$B$30,0),3))</f>
        <v>16537.5</v>
      </c>
      <c r="H44" s="22">
        <f>IF($D44="","",$D44*INDEX(Допущения!$C$25:$G$30,MATCH($C44,Допущения!$B$25:$B$30,0),4))</f>
        <v>17364.375000000004</v>
      </c>
      <c r="I44" s="22">
        <f>IF($D44="","",$D44*INDEX(Допущения!$C$25:$G$30,MATCH($C44,Допущения!$B$25:$B$30,0),5))</f>
        <v>18232.593750000004</v>
      </c>
      <c r="J44" s="22">
        <f>SUM(E44:I44)</f>
        <v>82884.46875</v>
      </c>
      <c r="K44" s="23"/>
      <c r="L44" s="24" t="s">
        <v>180</v>
      </c>
    </row>
    <row r="45" spans="2:18" ht="15.75" customHeight="1" x14ac:dyDescent="0.25">
      <c r="B45" s="10" t="s">
        <v>181</v>
      </c>
      <c r="C45" s="16" t="s">
        <v>84</v>
      </c>
      <c r="D45" s="17">
        <v>15000</v>
      </c>
      <c r="E45" s="42">
        <v>15000</v>
      </c>
      <c r="F45" s="42">
        <v>0</v>
      </c>
      <c r="G45" s="42">
        <v>0</v>
      </c>
      <c r="H45" s="42">
        <v>0</v>
      </c>
      <c r="I45" s="42">
        <v>0</v>
      </c>
      <c r="J45" s="22">
        <f>SUM(E45:I45)</f>
        <v>15000</v>
      </c>
      <c r="K45" s="23"/>
      <c r="L45" s="24" t="s">
        <v>182</v>
      </c>
    </row>
    <row r="46" spans="2:18" ht="15.75" customHeight="1" x14ac:dyDescent="0.25">
      <c r="B46" s="10" t="s">
        <v>183</v>
      </c>
      <c r="C46" s="16" t="s">
        <v>84</v>
      </c>
      <c r="D46" s="17">
        <v>10000</v>
      </c>
      <c r="E46" s="42">
        <v>10000</v>
      </c>
      <c r="F46" s="42">
        <v>15000</v>
      </c>
      <c r="G46" s="42">
        <v>20000</v>
      </c>
      <c r="H46" s="42">
        <v>20000</v>
      </c>
      <c r="I46" s="42">
        <v>20000</v>
      </c>
      <c r="J46" s="22">
        <f>SUM(E46:I46)</f>
        <v>85000</v>
      </c>
      <c r="K46" s="23"/>
      <c r="L46" s="24" t="s">
        <v>184</v>
      </c>
    </row>
    <row r="47" spans="2:18" ht="15.75" customHeight="1" x14ac:dyDescent="0.25">
      <c r="B47" s="10"/>
      <c r="C47" s="16" t="s">
        <v>84</v>
      </c>
      <c r="D47" s="17"/>
      <c r="E47" s="22" t="str">
        <f>IF($D47="","",$D47*INDEX(Допущения!$C$25:$G$30,MATCH($C47,Допущения!$B$25:$B$30,0),1))</f>
        <v/>
      </c>
      <c r="F47" s="22" t="str">
        <f>IF($D47="","",$D47*INDEX(Допущения!$C$25:$G$30,MATCH($C47,Допущения!$B$25:$B$30,0),2))</f>
        <v/>
      </c>
      <c r="G47" s="22" t="str">
        <f>IF($D47="","",$D47*INDEX(Допущения!$C$25:$G$30,MATCH($C47,Допущения!$B$25:$B$30,0),3))</f>
        <v/>
      </c>
      <c r="H47" s="22" t="str">
        <f>IF($D47="","",$D47*INDEX(Допущения!$C$25:$G$30,MATCH($C47,Допущения!$B$25:$B$30,0),4))</f>
        <v/>
      </c>
      <c r="I47" s="22" t="str">
        <f>IF($D47="","",$D47*INDEX(Допущения!$C$25:$G$30,MATCH($C47,Допущения!$B$25:$B$30,0),5))</f>
        <v/>
      </c>
      <c r="J47" s="22">
        <f>SUM(E47:I47)</f>
        <v>0</v>
      </c>
      <c r="K47" s="23"/>
      <c r="L47" s="24" t="s">
        <v>175</v>
      </c>
    </row>
    <row r="48" spans="2:18" ht="15.75" customHeight="1" x14ac:dyDescent="0.25">
      <c r="B48" s="25" t="s">
        <v>141</v>
      </c>
      <c r="C48" s="26"/>
      <c r="D48" s="26"/>
      <c r="E48" s="27">
        <f t="shared" ref="E48:J48" si="6">SUM(E43:E47)</f>
        <v>70000</v>
      </c>
      <c r="F48" s="27">
        <f t="shared" si="6"/>
        <v>45750</v>
      </c>
      <c r="G48" s="27">
        <f t="shared" si="6"/>
        <v>52287.5</v>
      </c>
      <c r="H48" s="27">
        <f t="shared" si="6"/>
        <v>53902.375</v>
      </c>
      <c r="I48" s="27">
        <f t="shared" si="6"/>
        <v>55596.59375</v>
      </c>
      <c r="J48" s="27">
        <f t="shared" si="6"/>
        <v>277536.46875</v>
      </c>
      <c r="K48" s="28">
        <f>IFERROR(J48/$J$51,0)</f>
        <v>3.789254893316656E-3</v>
      </c>
      <c r="L48" s="26"/>
    </row>
    <row r="49" spans="2:12" ht="15.75" customHeight="1" x14ac:dyDescent="0.25">
      <c r="C49" s="29"/>
    </row>
    <row r="50" spans="2:12" ht="15.75" customHeight="1" x14ac:dyDescent="0.25">
      <c r="B50" s="14" t="s">
        <v>185</v>
      </c>
      <c r="C50" s="29"/>
      <c r="E50" s="30">
        <f>(E15+E24+E32+E40+E48)*Допущения!$C$17</f>
        <v>290709</v>
      </c>
      <c r="F50" s="30">
        <f>(F15+F24+F32+F40+F48)*Допущения!$C$17</f>
        <v>786880.5</v>
      </c>
      <c r="G50" s="30">
        <f>(G15+G24+G32+G40+G48)*Допущения!$C$17</f>
        <v>1779486.15</v>
      </c>
      <c r="H50" s="30">
        <f>(H15+H24+H32+H40+H48)*Допущения!$C$17</f>
        <v>2851098.5325000007</v>
      </c>
      <c r="I50" s="30">
        <f>(I15+I24+I32+I40+I48)*Допущения!$C$17</f>
        <v>3845263.0991249997</v>
      </c>
      <c r="J50" s="22">
        <f>SUM(E50:I50)</f>
        <v>9553437.2816250008</v>
      </c>
      <c r="L50" s="6" t="s">
        <v>186</v>
      </c>
    </row>
    <row r="51" spans="2:12" ht="15.75" customHeight="1" x14ac:dyDescent="0.25">
      <c r="B51" s="25" t="s">
        <v>187</v>
      </c>
      <c r="C51" s="29"/>
      <c r="E51" s="27">
        <f>E15+E24+E32+E40+E48+E50</f>
        <v>2228769</v>
      </c>
      <c r="F51" s="27">
        <f>F15+F24+F32+F40+F48+F50</f>
        <v>6032750.5</v>
      </c>
      <c r="G51" s="27">
        <f>G15+G24+G32+G40+G48+G50</f>
        <v>13642727.15</v>
      </c>
      <c r="H51" s="27">
        <f>H15+H24+H32+H40+H48+H50</f>
        <v>21858422.082500003</v>
      </c>
      <c r="I51" s="27">
        <f>I15+I24+I32+I40+I48+I50</f>
        <v>29480350.426624998</v>
      </c>
      <c r="J51" s="27">
        <f>SUM(E51:I51)</f>
        <v>73243019.159125</v>
      </c>
    </row>
    <row r="52" spans="2:12" ht="15.75" customHeight="1" x14ac:dyDescent="0.25">
      <c r="B52" s="7" t="s">
        <v>188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2:12" ht="15.75" customHeight="1" x14ac:dyDescent="0.25">
      <c r="B53" s="10" t="s">
        <v>189</v>
      </c>
      <c r="E53" s="30">
        <f>(1-Допущения!C39)*525600*Допущения!C38*Допущения!$C$21</f>
        <v>99000.000000000087</v>
      </c>
      <c r="F53" s="30">
        <f>(1-Допущения!D39)*525600*Допущения!D38*Допущения!$C$21</f>
        <v>206999.99999997721</v>
      </c>
      <c r="G53" s="30">
        <f>(1-Допущения!E39)*525600*Допущения!E38*Допущения!$C$21</f>
        <v>539999.99999994051</v>
      </c>
      <c r="H53" s="30">
        <f>(1-Допущения!F39)*525600*Допущения!F38*Допущения!$C$21</f>
        <v>179999.99999998015</v>
      </c>
      <c r="I53" s="30">
        <f>(1-Допущения!G39)*525600*Допущения!G38*Допущения!$C$21</f>
        <v>249599.99999997253</v>
      </c>
      <c r="J53" s="22">
        <f>SUM(E53:I53)</f>
        <v>1275599.9999998705</v>
      </c>
      <c r="L53" s="12" t="s">
        <v>190</v>
      </c>
    </row>
    <row r="54" spans="2:12" ht="15.75" customHeight="1" x14ac:dyDescent="0.25">
      <c r="B54" s="25" t="s">
        <v>191</v>
      </c>
      <c r="E54" s="27">
        <f>E51+E53</f>
        <v>2327769</v>
      </c>
      <c r="F54" s="27">
        <f>F51+F53</f>
        <v>6239750.4999999776</v>
      </c>
      <c r="G54" s="27">
        <f>G51+G53</f>
        <v>14182727.149999941</v>
      </c>
      <c r="H54" s="27">
        <f>H51+H53</f>
        <v>22038422.082499985</v>
      </c>
      <c r="I54" s="27">
        <f>I51+I53</f>
        <v>29729950.426624972</v>
      </c>
      <c r="J54" s="27">
        <f>SUM(E54:I54)</f>
        <v>74518619.159124866</v>
      </c>
    </row>
    <row r="55" spans="2:12" ht="15.75" customHeight="1" x14ac:dyDescent="0.25">
      <c r="B55" s="10" t="s">
        <v>192</v>
      </c>
      <c r="E55" s="31">
        <f>1/(1+Допущения!$C$16)^0</f>
        <v>1</v>
      </c>
      <c r="F55" s="31">
        <f>1/(1+Допущения!$C$16)^1</f>
        <v>0.8</v>
      </c>
      <c r="G55" s="31">
        <f>1/(1+Допущения!$C$16)^2</f>
        <v>0.64</v>
      </c>
      <c r="H55" s="31">
        <f>1/(1+Допущения!$C$16)^3</f>
        <v>0.51200000000000001</v>
      </c>
      <c r="I55" s="31">
        <f>1/(1+Допущения!$C$16)^4</f>
        <v>0.40960000000000002</v>
      </c>
    </row>
    <row r="56" spans="2:12" ht="15.75" customHeight="1" x14ac:dyDescent="0.25">
      <c r="B56" s="25" t="s">
        <v>193</v>
      </c>
      <c r="E56" s="27">
        <f>E54*E55</f>
        <v>2327769</v>
      </c>
      <c r="F56" s="27">
        <f>F54*F55</f>
        <v>4991800.3999999827</v>
      </c>
      <c r="G56" s="27">
        <f>G54*G55</f>
        <v>9076945.3759999629</v>
      </c>
      <c r="H56" s="27">
        <f>H54*H55</f>
        <v>11283672.106239993</v>
      </c>
      <c r="I56" s="27">
        <f>I54*I55</f>
        <v>12177387.694745589</v>
      </c>
      <c r="J56" s="27">
        <f>SUM(E56:I56)</f>
        <v>39857574.576985523</v>
      </c>
    </row>
    <row r="57" spans="2:12" ht="15.75" customHeight="1" x14ac:dyDescent="0.25"/>
    <row r="58" spans="2:12" ht="15.75" customHeight="1" x14ac:dyDescent="0.25">
      <c r="B58" s="7" t="s">
        <v>194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2:12" ht="15.75" customHeight="1" x14ac:dyDescent="0.25">
      <c r="B59" s="14" t="s">
        <v>195</v>
      </c>
      <c r="E59" s="51">
        <f>J51</f>
        <v>73243019.159125</v>
      </c>
      <c r="F59" s="52"/>
      <c r="L59" s="12" t="s">
        <v>196</v>
      </c>
    </row>
    <row r="60" spans="2:12" ht="15.75" customHeight="1" x14ac:dyDescent="0.25">
      <c r="B60" s="14" t="s">
        <v>197</v>
      </c>
      <c r="E60" s="51">
        <f>J54</f>
        <v>74518619.159124866</v>
      </c>
      <c r="F60" s="52"/>
      <c r="L60" s="12" t="s">
        <v>198</v>
      </c>
    </row>
    <row r="61" spans="2:12" ht="15.75" customHeight="1" x14ac:dyDescent="0.25">
      <c r="B61" s="14" t="s">
        <v>199</v>
      </c>
      <c r="E61" s="51">
        <f>J56</f>
        <v>39857574.576985523</v>
      </c>
      <c r="F61" s="52"/>
      <c r="L61" s="12" t="s">
        <v>200</v>
      </c>
    </row>
    <row r="62" spans="2:12" ht="15.75" customHeight="1" x14ac:dyDescent="0.25">
      <c r="B62" s="14" t="s">
        <v>201</v>
      </c>
      <c r="E62" s="51">
        <f>J51/5</f>
        <v>14648603.831824999</v>
      </c>
      <c r="F62" s="52"/>
      <c r="L62" s="12" t="s">
        <v>202</v>
      </c>
    </row>
    <row r="63" spans="2:12" ht="15.75" customHeight="1" x14ac:dyDescent="0.25">
      <c r="B63" s="14" t="s">
        <v>203</v>
      </c>
      <c r="E63" s="51">
        <f>(E15+E24)/12</f>
        <v>4338.333333333333</v>
      </c>
      <c r="F63" s="52"/>
      <c r="L63" s="12" t="s">
        <v>204</v>
      </c>
    </row>
    <row r="64" spans="2:12" ht="15.75" customHeight="1" x14ac:dyDescent="0.25">
      <c r="B64" s="14" t="s">
        <v>205</v>
      </c>
      <c r="E64" s="65" t="str">
        <f>IF((E15+E24)/12&lt;=Допущения!$C$18,"В бюджете CFO","ПРЕВЫШЕНИЕ бюджета")</f>
        <v>В бюджете CFO</v>
      </c>
      <c r="F64" s="52"/>
      <c r="L64" s="12" t="s">
        <v>206</v>
      </c>
    </row>
    <row r="65" spans="2:12" ht="15.75" customHeight="1" x14ac:dyDescent="0.25">
      <c r="B65" s="14" t="s">
        <v>207</v>
      </c>
      <c r="E65" s="64">
        <f>IFERROR(J51/SUM(Допущения!$C$8:$G$8),0)</f>
        <v>0.93303209119904462</v>
      </c>
      <c r="F65" s="52"/>
      <c r="L65" s="12" t="s">
        <v>208</v>
      </c>
    </row>
    <row r="66" spans="2:12" ht="15.75" customHeight="1" x14ac:dyDescent="0.25">
      <c r="B66" s="14" t="s">
        <v>209</v>
      </c>
      <c r="E66" s="64">
        <f>IFERROR(I51/Допущения!$G$7,0)</f>
        <v>3.275594491847222</v>
      </c>
      <c r="F66" s="52"/>
      <c r="L66" s="12" t="s">
        <v>210</v>
      </c>
    </row>
    <row r="67" spans="2:12" ht="15.75" customHeight="1" x14ac:dyDescent="0.25">
      <c r="B67" s="14" t="s">
        <v>211</v>
      </c>
      <c r="E67" s="63">
        <f>IFERROR(J51/SUM(Допущения!$C$10:$G$10),0)</f>
        <v>3.7311777462620987E-2</v>
      </c>
      <c r="F67" s="52"/>
      <c r="L67" s="12" t="s">
        <v>212</v>
      </c>
    </row>
    <row r="68" spans="2:12" ht="15.75" customHeight="1" x14ac:dyDescent="0.25">
      <c r="B68" s="14" t="s">
        <v>213</v>
      </c>
      <c r="E68" s="61">
        <f>IFERROR(J15/J51,0)</f>
        <v>1.7935224613639389E-2</v>
      </c>
      <c r="F68" s="52"/>
      <c r="L68" s="12" t="s">
        <v>214</v>
      </c>
    </row>
    <row r="69" spans="2:12" ht="15.75" customHeight="1" x14ac:dyDescent="0.25">
      <c r="B69" s="14" t="s">
        <v>215</v>
      </c>
      <c r="E69" s="61">
        <f>IFERROR(J32/J51,0)</f>
        <v>0.68391500753364665</v>
      </c>
      <c r="F69" s="52"/>
      <c r="L69" s="12" t="s">
        <v>216</v>
      </c>
    </row>
    <row r="70" spans="2:12" ht="15.75" customHeight="1" x14ac:dyDescent="0.25">
      <c r="B70" s="14" t="s">
        <v>217</v>
      </c>
      <c r="E70" s="61">
        <f>IFERROR(J40/J51,0)</f>
        <v>0.16271553435157954</v>
      </c>
      <c r="F70" s="52"/>
      <c r="L70" s="12" t="s">
        <v>218</v>
      </c>
    </row>
    <row r="71" spans="2:12" ht="15.75" customHeight="1" x14ac:dyDescent="0.25"/>
    <row r="72" spans="2:12" ht="15.75" customHeight="1" x14ac:dyDescent="0.25">
      <c r="B72" s="62" t="s">
        <v>219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</row>
    <row r="73" spans="2:12" ht="15" customHeight="1" x14ac:dyDescent="0.25">
      <c r="B73" s="53" t="s">
        <v>220</v>
      </c>
      <c r="C73" s="54"/>
      <c r="D73" s="54"/>
      <c r="E73" s="54"/>
      <c r="F73" s="54"/>
      <c r="G73" s="54"/>
      <c r="H73" s="54"/>
      <c r="I73" s="54"/>
      <c r="J73" s="54"/>
      <c r="K73" s="54"/>
      <c r="L73" s="55"/>
    </row>
    <row r="74" spans="2:12" ht="15.75" customHeight="1" x14ac:dyDescent="0.25">
      <c r="B74" s="56"/>
      <c r="C74" s="49"/>
      <c r="D74" s="49"/>
      <c r="E74" s="49"/>
      <c r="F74" s="49"/>
      <c r="G74" s="49"/>
      <c r="H74" s="49"/>
      <c r="I74" s="49"/>
      <c r="J74" s="49"/>
      <c r="K74" s="49"/>
      <c r="L74" s="57"/>
    </row>
    <row r="75" spans="2:12" ht="15.75" customHeight="1" x14ac:dyDescent="0.25">
      <c r="B75" s="58"/>
      <c r="C75" s="59"/>
      <c r="D75" s="59"/>
      <c r="E75" s="59"/>
      <c r="F75" s="59"/>
      <c r="G75" s="59"/>
      <c r="H75" s="59"/>
      <c r="I75" s="59"/>
      <c r="J75" s="59"/>
      <c r="K75" s="59"/>
      <c r="L75" s="60"/>
    </row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9:F69"/>
    <mergeCell ref="E66:F66"/>
    <mergeCell ref="E61:F61"/>
    <mergeCell ref="E60:F60"/>
    <mergeCell ref="E70:F70"/>
    <mergeCell ref="E64:F64"/>
    <mergeCell ref="E65:F65"/>
  </mergeCells>
  <dataValidations count="1">
    <dataValidation type="list" allowBlank="1" sqref="C6:C51" xr:uid="{00000000-0002-0000-0200-000000000000}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4.42578125" defaultRowHeight="15" customHeight="1" x14ac:dyDescent="0.25"/>
  <cols>
    <col min="1" max="1" width="3" style="32" customWidth="1"/>
    <col min="2" max="2" width="44" style="32" customWidth="1"/>
    <col min="3" max="3" width="16" style="32" customWidth="1"/>
    <col min="4" max="4" width="15" style="32" customWidth="1"/>
    <col min="5" max="10" width="14" style="32" customWidth="1"/>
    <col min="11" max="11" width="10" style="32" customWidth="1"/>
    <col min="12" max="12" width="46" style="32" customWidth="1"/>
    <col min="13" max="26" width="8.7109375" style="32" customWidth="1"/>
  </cols>
  <sheetData>
    <row r="1" spans="2:18" x14ac:dyDescent="0.25"/>
    <row r="2" spans="2:18" ht="18" x14ac:dyDescent="0.25">
      <c r="B2" s="1" t="s">
        <v>221</v>
      </c>
    </row>
    <row r="3" spans="2:18" x14ac:dyDescent="0.25">
      <c r="B3" s="6" t="s">
        <v>117</v>
      </c>
    </row>
    <row r="4" spans="2:18" x14ac:dyDescent="0.25">
      <c r="N4" s="33" t="s">
        <v>118</v>
      </c>
    </row>
    <row r="5" spans="2:18" ht="31.5" customHeight="1" x14ac:dyDescent="0.25">
      <c r="B5" s="9" t="s">
        <v>119</v>
      </c>
      <c r="C5" s="9" t="s">
        <v>120</v>
      </c>
      <c r="D5" s="9" t="s">
        <v>121</v>
      </c>
      <c r="E5" s="9" t="s">
        <v>48</v>
      </c>
      <c r="F5" s="9" t="s">
        <v>49</v>
      </c>
      <c r="G5" s="9" t="s">
        <v>50</v>
      </c>
      <c r="H5" s="9" t="s">
        <v>51</v>
      </c>
      <c r="I5" s="9" t="s">
        <v>52</v>
      </c>
      <c r="J5" s="9" t="s">
        <v>122</v>
      </c>
      <c r="K5" s="9" t="s">
        <v>123</v>
      </c>
      <c r="L5" s="9" t="s">
        <v>53</v>
      </c>
      <c r="N5" s="33" t="s">
        <v>48</v>
      </c>
      <c r="O5" s="33" t="s">
        <v>49</v>
      </c>
      <c r="P5" s="33" t="s">
        <v>50</v>
      </c>
      <c r="Q5" s="33" t="s">
        <v>51</v>
      </c>
      <c r="R5" s="33" t="s">
        <v>52</v>
      </c>
    </row>
    <row r="6" spans="2:18" x14ac:dyDescent="0.25">
      <c r="B6" s="7" t="s">
        <v>124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8" x14ac:dyDescent="0.25">
      <c r="B7" s="10" t="s">
        <v>125</v>
      </c>
      <c r="C7" s="16" t="s">
        <v>90</v>
      </c>
      <c r="D7" s="17">
        <v>9660</v>
      </c>
      <c r="E7" s="22">
        <f>IF($D7="","",$D7*INDEX(Допущения!$C$25:$G$30,MATCH($C7,Допущения!$B$25:$B$30,0),1))</f>
        <v>9660</v>
      </c>
      <c r="F7" s="22">
        <f>IF($D7="","",$D7*INDEX(Допущения!$C$25:$G$30,MATCH($C7,Допущения!$B$25:$B$30,0),2))</f>
        <v>24150</v>
      </c>
      <c r="G7" s="22">
        <f>IF($D7="","",$D7*INDEX(Допущения!$C$25:$G$30,MATCH($C7,Допущения!$B$25:$B$30,0),3))</f>
        <v>48300</v>
      </c>
      <c r="H7" s="22">
        <f>IF($D7="","",$D7*INDEX(Допущения!$C$25:$G$30,MATCH($C7,Допущения!$B$25:$B$30,0),4))</f>
        <v>67620</v>
      </c>
      <c r="I7" s="22">
        <f>IF($D7="","",$D7*INDEX(Допущения!$C$25:$G$30,MATCH($C7,Допущения!$B$25:$B$30,0),5))</f>
        <v>86940</v>
      </c>
      <c r="J7" s="22">
        <f t="shared" ref="J7:J14" si="0">SUM(E7:I7)</f>
        <v>236670</v>
      </c>
      <c r="K7" s="23"/>
      <c r="L7" s="24" t="s">
        <v>222</v>
      </c>
    </row>
    <row r="8" spans="2:18" x14ac:dyDescent="0.25">
      <c r="B8" s="10" t="s">
        <v>127</v>
      </c>
      <c r="C8" s="16" t="s">
        <v>90</v>
      </c>
      <c r="D8" s="17">
        <v>12960</v>
      </c>
      <c r="E8" s="22">
        <f>IF($D8="","",$D8*INDEX(Допущения!$C$25:$G$30,MATCH($C8,Допущения!$B$25:$B$30,0),1))</f>
        <v>12960</v>
      </c>
      <c r="F8" s="22">
        <f>IF($D8="","",$D8*INDEX(Допущения!$C$25:$G$30,MATCH($C8,Допущения!$B$25:$B$30,0),2))</f>
        <v>32400</v>
      </c>
      <c r="G8" s="22">
        <f>IF($D8="","",$D8*INDEX(Допущения!$C$25:$G$30,MATCH($C8,Допущения!$B$25:$B$30,0),3))</f>
        <v>64800</v>
      </c>
      <c r="H8" s="22">
        <f>IF($D8="","",$D8*INDEX(Допущения!$C$25:$G$30,MATCH($C8,Допущения!$B$25:$B$30,0),4))</f>
        <v>90720</v>
      </c>
      <c r="I8" s="22">
        <f>IF($D8="","",$D8*INDEX(Допущения!$C$25:$G$30,MATCH($C8,Допущения!$B$25:$B$30,0),5))</f>
        <v>116640</v>
      </c>
      <c r="J8" s="22">
        <f t="shared" si="0"/>
        <v>317520</v>
      </c>
      <c r="K8" s="23"/>
      <c r="L8" s="24" t="s">
        <v>223</v>
      </c>
    </row>
    <row r="9" spans="2:18" x14ac:dyDescent="0.25">
      <c r="B9" s="10" t="s">
        <v>129</v>
      </c>
      <c r="C9" s="16" t="s">
        <v>90</v>
      </c>
      <c r="D9" s="17">
        <v>1000</v>
      </c>
      <c r="E9" s="22">
        <f>IF($D9="","",$D9*INDEX(Допущения!$C$25:$G$30,MATCH($C9,Допущения!$B$25:$B$30,0),1))</f>
        <v>1000</v>
      </c>
      <c r="F9" s="22">
        <f>IF($D9="","",$D9*INDEX(Допущения!$C$25:$G$30,MATCH($C9,Допущения!$B$25:$B$30,0),2))</f>
        <v>2500</v>
      </c>
      <c r="G9" s="22">
        <f>IF($D9="","",$D9*INDEX(Допущения!$C$25:$G$30,MATCH($C9,Допущения!$B$25:$B$30,0),3))</f>
        <v>5000</v>
      </c>
      <c r="H9" s="22">
        <f>IF($D9="","",$D9*INDEX(Допущения!$C$25:$G$30,MATCH($C9,Допущения!$B$25:$B$30,0),4))</f>
        <v>7000</v>
      </c>
      <c r="I9" s="22">
        <f>IF($D9="","",$D9*INDEX(Допущения!$C$25:$G$30,MATCH($C9,Допущения!$B$25:$B$30,0),5))</f>
        <v>9000</v>
      </c>
      <c r="J9" s="22">
        <f t="shared" si="0"/>
        <v>24500</v>
      </c>
      <c r="K9" s="23"/>
      <c r="L9" s="24" t="s">
        <v>224</v>
      </c>
    </row>
    <row r="10" spans="2:18" x14ac:dyDescent="0.25">
      <c r="B10" s="10" t="s">
        <v>131</v>
      </c>
      <c r="C10" s="16" t="s">
        <v>90</v>
      </c>
      <c r="D10" s="17">
        <v>9800</v>
      </c>
      <c r="E10" s="22">
        <f>IF($D10="","",$D10*INDEX(Допущения!$C$25:$G$30,MATCH($C10,Допущения!$B$25:$B$30,0),1))</f>
        <v>9800</v>
      </c>
      <c r="F10" s="22">
        <f>IF($D10="","",$D10*INDEX(Допущения!$C$25:$G$30,MATCH($C10,Допущения!$B$25:$B$30,0),2))</f>
        <v>24500</v>
      </c>
      <c r="G10" s="22">
        <f>IF($D10="","",$D10*INDEX(Допущения!$C$25:$G$30,MATCH($C10,Допущения!$B$25:$B$30,0),3))</f>
        <v>49000</v>
      </c>
      <c r="H10" s="22">
        <f>IF($D10="","",$D10*INDEX(Допущения!$C$25:$G$30,MATCH($C10,Допущения!$B$25:$B$30,0),4))</f>
        <v>68600</v>
      </c>
      <c r="I10" s="22">
        <f>IF($D10="","",$D10*INDEX(Допущения!$C$25:$G$30,MATCH($C10,Допущения!$B$25:$B$30,0),5))</f>
        <v>88200</v>
      </c>
      <c r="J10" s="22">
        <f t="shared" si="0"/>
        <v>240100</v>
      </c>
      <c r="K10" s="23"/>
      <c r="L10" s="24" t="s">
        <v>225</v>
      </c>
    </row>
    <row r="11" spans="2:18" x14ac:dyDescent="0.25">
      <c r="B11" s="10" t="s">
        <v>133</v>
      </c>
      <c r="C11" s="16" t="s">
        <v>90</v>
      </c>
      <c r="D11" s="17">
        <v>6960</v>
      </c>
      <c r="E11" s="22">
        <f>IF($D11="","",$D11*INDEX(Допущения!$C$25:$G$30,MATCH($C11,Допущения!$B$25:$B$30,0),1))</f>
        <v>6960</v>
      </c>
      <c r="F11" s="22">
        <f>IF($D11="","",$D11*INDEX(Допущения!$C$25:$G$30,MATCH($C11,Допущения!$B$25:$B$30,0),2))</f>
        <v>17400</v>
      </c>
      <c r="G11" s="22">
        <f>IF($D11="","",$D11*INDEX(Допущения!$C$25:$G$30,MATCH($C11,Допущения!$B$25:$B$30,0),3))</f>
        <v>34800</v>
      </c>
      <c r="H11" s="22">
        <f>IF($D11="","",$D11*INDEX(Допущения!$C$25:$G$30,MATCH($C11,Допущения!$B$25:$B$30,0),4))</f>
        <v>48720</v>
      </c>
      <c r="I11" s="22">
        <f>IF($D11="","",$D11*INDEX(Допущения!$C$25:$G$30,MATCH($C11,Допущения!$B$25:$B$30,0),5))</f>
        <v>62640</v>
      </c>
      <c r="J11" s="22">
        <f t="shared" si="0"/>
        <v>170520</v>
      </c>
      <c r="K11" s="23"/>
      <c r="L11" s="24" t="s">
        <v>226</v>
      </c>
    </row>
    <row r="12" spans="2:18" ht="24" x14ac:dyDescent="0.25">
      <c r="B12" s="10" t="s">
        <v>135</v>
      </c>
      <c r="C12" s="16" t="s">
        <v>84</v>
      </c>
      <c r="D12" s="17">
        <v>14400</v>
      </c>
      <c r="E12" s="42">
        <v>14400</v>
      </c>
      <c r="F12" s="42">
        <v>18000</v>
      </c>
      <c r="G12" s="42">
        <v>24000</v>
      </c>
      <c r="H12" s="42">
        <v>100000</v>
      </c>
      <c r="I12" s="42">
        <v>125000</v>
      </c>
      <c r="J12" s="22">
        <f t="shared" si="0"/>
        <v>281400</v>
      </c>
      <c r="K12" s="23"/>
      <c r="L12" s="24" t="s">
        <v>227</v>
      </c>
    </row>
    <row r="13" spans="2:18" ht="24" x14ac:dyDescent="0.25">
      <c r="B13" s="10" t="s">
        <v>137</v>
      </c>
      <c r="C13" s="16" t="s">
        <v>90</v>
      </c>
      <c r="D13" s="17">
        <v>16800</v>
      </c>
      <c r="E13" s="22">
        <f>IF($D13="","",$D13*INDEX(Допущения!$C$25:$G$30,MATCH($C13,Допущения!$B$25:$B$30,0),1))</f>
        <v>16800</v>
      </c>
      <c r="F13" s="22">
        <f>IF($D13="","",$D13*INDEX(Допущения!$C$25:$G$30,MATCH($C13,Допущения!$B$25:$B$30,0),2))</f>
        <v>42000</v>
      </c>
      <c r="G13" s="22">
        <f>IF($D13="","",$D13*INDEX(Допущения!$C$25:$G$30,MATCH($C13,Допущения!$B$25:$B$30,0),3))</f>
        <v>84000</v>
      </c>
      <c r="H13" s="22">
        <f>IF($D13="","",$D13*INDEX(Допущения!$C$25:$G$30,MATCH($C13,Допущения!$B$25:$B$30,0),4))</f>
        <v>117600</v>
      </c>
      <c r="I13" s="22">
        <f>IF($D13="","",$D13*INDEX(Допущения!$C$25:$G$30,MATCH($C13,Допущения!$B$25:$B$30,0),5))</f>
        <v>151200</v>
      </c>
      <c r="J13" s="22">
        <f t="shared" si="0"/>
        <v>411600</v>
      </c>
      <c r="K13" s="23"/>
      <c r="L13" s="24" t="s">
        <v>228</v>
      </c>
    </row>
    <row r="14" spans="2:18" ht="24" x14ac:dyDescent="0.25">
      <c r="B14" s="10" t="s">
        <v>229</v>
      </c>
      <c r="C14" s="16" t="s">
        <v>90</v>
      </c>
      <c r="D14" s="17">
        <v>17900</v>
      </c>
      <c r="E14" s="22">
        <f>IF($D14="","",$D14*INDEX(Допущения!$C$25:$G$30,MATCH($C14,Допущения!$B$25:$B$30,0),1))</f>
        <v>17900</v>
      </c>
      <c r="F14" s="22">
        <f>IF($D14="","",$D14*INDEX(Допущения!$C$25:$G$30,MATCH($C14,Допущения!$B$25:$B$30,0),2))</f>
        <v>44750</v>
      </c>
      <c r="G14" s="22">
        <f>IF($D14="","",$D14*INDEX(Допущения!$C$25:$G$30,MATCH($C14,Допущения!$B$25:$B$30,0),3))</f>
        <v>89500</v>
      </c>
      <c r="H14" s="22">
        <f>IF($D14="","",$D14*INDEX(Допущения!$C$25:$G$30,MATCH($C14,Допущения!$B$25:$B$30,0),4))</f>
        <v>125300</v>
      </c>
      <c r="I14" s="22">
        <f>IF($D14="","",$D14*INDEX(Допущения!$C$25:$G$30,MATCH($C14,Допущения!$B$25:$B$30,0),5))</f>
        <v>161100</v>
      </c>
      <c r="J14" s="22">
        <f t="shared" si="0"/>
        <v>438550</v>
      </c>
      <c r="K14" s="23"/>
      <c r="L14" s="24" t="s">
        <v>230</v>
      </c>
    </row>
    <row r="15" spans="2:18" x14ac:dyDescent="0.25">
      <c r="B15" s="25" t="s">
        <v>141</v>
      </c>
      <c r="C15" s="26"/>
      <c r="D15" s="26"/>
      <c r="E15" s="27">
        <f t="shared" ref="E15:J15" si="1">SUM(E7:E14)</f>
        <v>89480</v>
      </c>
      <c r="F15" s="27">
        <f t="shared" si="1"/>
        <v>205700</v>
      </c>
      <c r="G15" s="27">
        <f t="shared" si="1"/>
        <v>399400</v>
      </c>
      <c r="H15" s="27">
        <f t="shared" si="1"/>
        <v>625560</v>
      </c>
      <c r="I15" s="27">
        <f t="shared" si="1"/>
        <v>800720</v>
      </c>
      <c r="J15" s="27">
        <f t="shared" si="1"/>
        <v>2120860</v>
      </c>
      <c r="K15" s="28">
        <f>IFERROR(J15/$J$51,0)</f>
        <v>2.759719338205914E-2</v>
      </c>
      <c r="L15" s="26"/>
    </row>
    <row r="16" spans="2:18" x14ac:dyDescent="0.25">
      <c r="C16" s="29"/>
    </row>
    <row r="17" spans="2:12" x14ac:dyDescent="0.25">
      <c r="B17" s="7" t="s">
        <v>142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x14ac:dyDescent="0.25">
      <c r="B18" s="10" t="s">
        <v>143</v>
      </c>
      <c r="C18" s="16" t="s">
        <v>90</v>
      </c>
      <c r="D18" s="17">
        <v>4800</v>
      </c>
      <c r="E18" s="22">
        <f>IF($D18="","",$D18*INDEX(Допущения!$C$25:$G$30,MATCH($C18,Допущения!$B$25:$B$30,0),1))</f>
        <v>4800</v>
      </c>
      <c r="F18" s="22">
        <f>IF($D18="","",$D18*INDEX(Допущения!$C$25:$G$30,MATCH($C18,Допущения!$B$25:$B$30,0),2))</f>
        <v>12000</v>
      </c>
      <c r="G18" s="22">
        <f>IF($D18="","",$D18*INDEX(Допущения!$C$25:$G$30,MATCH($C18,Допущения!$B$25:$B$30,0),3))</f>
        <v>24000</v>
      </c>
      <c r="H18" s="22">
        <f>IF($D18="","",$D18*INDEX(Допущения!$C$25:$G$30,MATCH($C18,Допущения!$B$25:$B$30,0),4))</f>
        <v>33600</v>
      </c>
      <c r="I18" s="22">
        <f>IF($D18="","",$D18*INDEX(Допущения!$C$25:$G$30,MATCH($C18,Допущения!$B$25:$B$30,0),5))</f>
        <v>43200</v>
      </c>
      <c r="J18" s="22">
        <f t="shared" ref="J18:J23" si="2">SUM(E18:I18)</f>
        <v>117600</v>
      </c>
      <c r="K18" s="23"/>
      <c r="L18" s="24" t="s">
        <v>231</v>
      </c>
    </row>
    <row r="19" spans="2:12" x14ac:dyDescent="0.25">
      <c r="B19" s="10" t="s">
        <v>145</v>
      </c>
      <c r="C19" s="16" t="s">
        <v>86</v>
      </c>
      <c r="D19" s="17">
        <v>2400</v>
      </c>
      <c r="E19" s="22">
        <f>IF($D19="","",$D19*INDEX(Допущения!$C$25:$G$30,MATCH($C19,Допущения!$B$25:$B$30,0),1))</f>
        <v>2400</v>
      </c>
      <c r="F19" s="22">
        <f>IF($D19="","",$D19*INDEX(Допущения!$C$25:$G$30,MATCH($C19,Допущения!$B$25:$B$30,0),2))</f>
        <v>2520</v>
      </c>
      <c r="G19" s="22">
        <f>IF($D19="","",$D19*INDEX(Допущения!$C$25:$G$30,MATCH($C19,Допущения!$B$25:$B$30,0),3))</f>
        <v>2646</v>
      </c>
      <c r="H19" s="22">
        <f>IF($D19="","",$D19*INDEX(Допущения!$C$25:$G$30,MATCH($C19,Допущения!$B$25:$B$30,0),4))</f>
        <v>2778.3</v>
      </c>
      <c r="I19" s="22">
        <f>IF($D19="","",$D19*INDEX(Допущения!$C$25:$G$30,MATCH($C19,Допущения!$B$25:$B$30,0),5))</f>
        <v>2917.2150000000006</v>
      </c>
      <c r="J19" s="22">
        <f t="shared" si="2"/>
        <v>13261.514999999999</v>
      </c>
      <c r="K19" s="23"/>
      <c r="L19" s="24" t="s">
        <v>232</v>
      </c>
    </row>
    <row r="20" spans="2:12" x14ac:dyDescent="0.25">
      <c r="B20" s="10" t="s">
        <v>147</v>
      </c>
      <c r="C20" s="16" t="s">
        <v>90</v>
      </c>
      <c r="D20" s="17">
        <v>1200</v>
      </c>
      <c r="E20" s="22">
        <f>IF($D20="","",$D20*INDEX(Допущения!$C$25:$G$30,MATCH($C20,Допущения!$B$25:$B$30,0),1))</f>
        <v>1200</v>
      </c>
      <c r="F20" s="22">
        <f>IF($D20="","",$D20*INDEX(Допущения!$C$25:$G$30,MATCH($C20,Допущения!$B$25:$B$30,0),2))</f>
        <v>3000</v>
      </c>
      <c r="G20" s="22">
        <f>IF($D20="","",$D20*INDEX(Допущения!$C$25:$G$30,MATCH($C20,Допущения!$B$25:$B$30,0),3))</f>
        <v>6000</v>
      </c>
      <c r="H20" s="22">
        <f>IF($D20="","",$D20*INDEX(Допущения!$C$25:$G$30,MATCH($C20,Допущения!$B$25:$B$30,0),4))</f>
        <v>8400</v>
      </c>
      <c r="I20" s="22">
        <f>IF($D20="","",$D20*INDEX(Допущения!$C$25:$G$30,MATCH($C20,Допущения!$B$25:$B$30,0),5))</f>
        <v>10800</v>
      </c>
      <c r="J20" s="22">
        <f t="shared" si="2"/>
        <v>29400</v>
      </c>
      <c r="K20" s="23"/>
      <c r="L20" s="24" t="s">
        <v>233</v>
      </c>
    </row>
    <row r="21" spans="2:12" ht="15.75" customHeight="1" x14ac:dyDescent="0.25">
      <c r="B21" s="10" t="s">
        <v>149</v>
      </c>
      <c r="C21" s="16" t="s">
        <v>86</v>
      </c>
      <c r="D21" s="17">
        <v>600</v>
      </c>
      <c r="E21" s="22">
        <f>IF($D21="","",$D21*INDEX(Допущения!$C$25:$G$30,MATCH($C21,Допущения!$B$25:$B$30,0),1))</f>
        <v>600</v>
      </c>
      <c r="F21" s="22">
        <f>IF($D21="","",$D21*INDEX(Допущения!$C$25:$G$30,MATCH($C21,Допущения!$B$25:$B$30,0),2))</f>
        <v>630</v>
      </c>
      <c r="G21" s="22">
        <f>IF($D21="","",$D21*INDEX(Допущения!$C$25:$G$30,MATCH($C21,Допущения!$B$25:$B$30,0),3))</f>
        <v>661.5</v>
      </c>
      <c r="H21" s="22">
        <f>IF($D21="","",$D21*INDEX(Допущения!$C$25:$G$30,MATCH($C21,Допущения!$B$25:$B$30,0),4))</f>
        <v>694.57500000000005</v>
      </c>
      <c r="I21" s="22">
        <f>IF($D21="","",$D21*INDEX(Допущения!$C$25:$G$30,MATCH($C21,Допущения!$B$25:$B$30,0),5))</f>
        <v>729.30375000000015</v>
      </c>
      <c r="J21" s="22">
        <f t="shared" si="2"/>
        <v>3315.3787499999999</v>
      </c>
      <c r="K21" s="23"/>
      <c r="L21" s="24" t="s">
        <v>234</v>
      </c>
    </row>
    <row r="22" spans="2:12" ht="15.75" customHeight="1" x14ac:dyDescent="0.25">
      <c r="B22" s="10" t="s">
        <v>151</v>
      </c>
      <c r="C22" s="16" t="s">
        <v>86</v>
      </c>
      <c r="D22" s="17">
        <v>1800</v>
      </c>
      <c r="E22" s="22">
        <f>IF($D22="","",$D22*INDEX(Допущения!$C$25:$G$30,MATCH($C22,Допущения!$B$25:$B$30,0),1))</f>
        <v>1800</v>
      </c>
      <c r="F22" s="22">
        <f>IF($D22="","",$D22*INDEX(Допущения!$C$25:$G$30,MATCH($C22,Допущения!$B$25:$B$30,0),2))</f>
        <v>1890</v>
      </c>
      <c r="G22" s="22">
        <f>IF($D22="","",$D22*INDEX(Допущения!$C$25:$G$30,MATCH($C22,Допущения!$B$25:$B$30,0),3))</f>
        <v>1984.5</v>
      </c>
      <c r="H22" s="22">
        <f>IF($D22="","",$D22*INDEX(Допущения!$C$25:$G$30,MATCH($C22,Допущения!$B$25:$B$30,0),4))</f>
        <v>2083.7250000000004</v>
      </c>
      <c r="I22" s="22">
        <f>IF($D22="","",$D22*INDEX(Допущения!$C$25:$G$30,MATCH($C22,Допущения!$B$25:$B$30,0),5))</f>
        <v>2187.9112500000006</v>
      </c>
      <c r="J22" s="22">
        <f t="shared" si="2"/>
        <v>9946.1362500000014</v>
      </c>
      <c r="K22" s="23"/>
      <c r="L22" s="24" t="s">
        <v>235</v>
      </c>
    </row>
    <row r="23" spans="2:12" ht="15.75" customHeight="1" x14ac:dyDescent="0.25">
      <c r="B23" s="10" t="s">
        <v>153</v>
      </c>
      <c r="C23" s="16" t="s">
        <v>86</v>
      </c>
      <c r="D23" s="17">
        <v>1800</v>
      </c>
      <c r="E23" s="22">
        <f>IF($D23="","",$D23*INDEX(Допущения!$C$25:$G$30,MATCH($C23,Допущения!$B$25:$B$30,0),1))</f>
        <v>1800</v>
      </c>
      <c r="F23" s="22">
        <f>IF($D23="","",$D23*INDEX(Допущения!$C$25:$G$30,MATCH($C23,Допущения!$B$25:$B$30,0),2))</f>
        <v>1890</v>
      </c>
      <c r="G23" s="22">
        <f>IF($D23="","",$D23*INDEX(Допущения!$C$25:$G$30,MATCH($C23,Допущения!$B$25:$B$30,0),3))</f>
        <v>1984.5</v>
      </c>
      <c r="H23" s="22">
        <f>IF($D23="","",$D23*INDEX(Допущения!$C$25:$G$30,MATCH($C23,Допущения!$B$25:$B$30,0),4))</f>
        <v>2083.7250000000004</v>
      </c>
      <c r="I23" s="22">
        <f>IF($D23="","",$D23*INDEX(Допущения!$C$25:$G$30,MATCH($C23,Допущения!$B$25:$B$30,0),5))</f>
        <v>2187.9112500000006</v>
      </c>
      <c r="J23" s="22">
        <f t="shared" si="2"/>
        <v>9946.1362500000014</v>
      </c>
      <c r="K23" s="23"/>
      <c r="L23" s="24" t="s">
        <v>236</v>
      </c>
    </row>
    <row r="24" spans="2:12" ht="15.75" customHeight="1" x14ac:dyDescent="0.25">
      <c r="B24" s="25" t="s">
        <v>141</v>
      </c>
      <c r="C24" s="26"/>
      <c r="D24" s="26"/>
      <c r="E24" s="27">
        <f t="shared" ref="E24:J24" si="3">SUM(E18:E23)</f>
        <v>12600</v>
      </c>
      <c r="F24" s="27">
        <f t="shared" si="3"/>
        <v>21930</v>
      </c>
      <c r="G24" s="27">
        <f t="shared" si="3"/>
        <v>37276.5</v>
      </c>
      <c r="H24" s="27">
        <f t="shared" si="3"/>
        <v>49640.324999999997</v>
      </c>
      <c r="I24" s="27">
        <f t="shared" si="3"/>
        <v>62022.341249999998</v>
      </c>
      <c r="J24" s="27">
        <f t="shared" si="3"/>
        <v>183469.16625000004</v>
      </c>
      <c r="K24" s="28">
        <f>IFERROR(J24/$J$51,0)</f>
        <v>2.3873495000360273E-3</v>
      </c>
      <c r="L24" s="26"/>
    </row>
    <row r="25" spans="2:12" ht="15.75" customHeight="1" x14ac:dyDescent="0.25">
      <c r="C25" s="29"/>
    </row>
    <row r="26" spans="2:12" ht="15.75" customHeight="1" x14ac:dyDescent="0.25">
      <c r="B26" s="7" t="s">
        <v>155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5">
      <c r="B27" s="10" t="s">
        <v>156</v>
      </c>
      <c r="C27" s="16" t="s">
        <v>94</v>
      </c>
      <c r="D27" s="17">
        <v>594000</v>
      </c>
      <c r="E27" s="22">
        <f>IF($D27="","",$D27*INDEX(Допущения!$C$25:$G$30,MATCH($C27,Допущения!$B$25:$B$30,0),1))</f>
        <v>594000</v>
      </c>
      <c r="F27" s="22">
        <f>IF($D27="","",$D27*INDEX(Допущения!$C$25:$G$30,MATCH($C27,Допущения!$B$25:$B$30,0),2))</f>
        <v>2484000</v>
      </c>
      <c r="G27" s="22">
        <f>IF($D27="","",$D27*INDEX(Допущения!$C$25:$G$30,MATCH($C27,Допущения!$B$25:$B$30,0),3))</f>
        <v>6479999.9999999991</v>
      </c>
      <c r="H27" s="22">
        <f>IF($D27="","",$D27*INDEX(Допущения!$C$25:$G$30,MATCH($C27,Допущения!$B$25:$B$30,0),4))</f>
        <v>10800000.000000002</v>
      </c>
      <c r="I27" s="22">
        <f>IF($D27="","",$D27*INDEX(Допущения!$C$25:$G$30,MATCH($C27,Допущения!$B$25:$B$30,0),5))</f>
        <v>14976000</v>
      </c>
      <c r="J27" s="22">
        <f>SUM(E27:I27)</f>
        <v>35334000</v>
      </c>
      <c r="K27" s="23"/>
      <c r="L27" s="24" t="s">
        <v>157</v>
      </c>
    </row>
    <row r="28" spans="2:12" ht="15.75" customHeight="1" x14ac:dyDescent="0.25">
      <c r="B28" s="10" t="s">
        <v>158</v>
      </c>
      <c r="C28" s="16" t="s">
        <v>92</v>
      </c>
      <c r="D28" s="17">
        <v>30000</v>
      </c>
      <c r="E28" s="22">
        <f>IF($D28="","",$D28*INDEX(Допущения!$C$25:$G$30,MATCH($C28,Допущения!$B$25:$B$30,0),1))</f>
        <v>30000</v>
      </c>
      <c r="F28" s="22">
        <f>IF($D28="","",$D28*INDEX(Допущения!$C$25:$G$30,MATCH($C28,Допущения!$B$25:$B$30,0),2))</f>
        <v>120000</v>
      </c>
      <c r="G28" s="22">
        <f>IF($D28="","",$D28*INDEX(Допущения!$C$25:$G$30,MATCH($C28,Допущения!$B$25:$B$30,0),3))</f>
        <v>300000</v>
      </c>
      <c r="H28" s="22">
        <f>IF($D28="","",$D28*INDEX(Допущения!$C$25:$G$30,MATCH($C28,Допущения!$B$25:$B$30,0),4))</f>
        <v>480000</v>
      </c>
      <c r="I28" s="22">
        <f>IF($D28="","",$D28*INDEX(Допущения!$C$25:$G$30,MATCH($C28,Допущения!$B$25:$B$30,0),5))</f>
        <v>640000</v>
      </c>
      <c r="J28" s="22">
        <f>SUM(E28:I28)</f>
        <v>1570000</v>
      </c>
      <c r="K28" s="23"/>
      <c r="L28" s="24" t="s">
        <v>159</v>
      </c>
    </row>
    <row r="29" spans="2:12" ht="15.75" customHeight="1" x14ac:dyDescent="0.25">
      <c r="B29" s="10" t="s">
        <v>160</v>
      </c>
      <c r="C29" s="16" t="s">
        <v>92</v>
      </c>
      <c r="D29" s="17">
        <v>16500</v>
      </c>
      <c r="E29" s="22">
        <f>IF($D29="","",$D29*INDEX(Допущения!$C$25:$G$30,MATCH($C29,Допущения!$B$25:$B$30,0),1))</f>
        <v>16500</v>
      </c>
      <c r="F29" s="22">
        <f>IF($D29="","",$D29*INDEX(Допущения!$C$25:$G$30,MATCH($C29,Допущения!$B$25:$B$30,0),2))</f>
        <v>66000</v>
      </c>
      <c r="G29" s="22">
        <f>IF($D29="","",$D29*INDEX(Допущения!$C$25:$G$30,MATCH($C29,Допущения!$B$25:$B$30,0),3))</f>
        <v>165000</v>
      </c>
      <c r="H29" s="22">
        <f>IF($D29="","",$D29*INDEX(Допущения!$C$25:$G$30,MATCH($C29,Допущения!$B$25:$B$30,0),4))</f>
        <v>264000</v>
      </c>
      <c r="I29" s="22">
        <f>IF($D29="","",$D29*INDEX(Допущения!$C$25:$G$30,MATCH($C29,Допущения!$B$25:$B$30,0),5))</f>
        <v>352000</v>
      </c>
      <c r="J29" s="22">
        <f>SUM(E29:I29)</f>
        <v>863500</v>
      </c>
      <c r="K29" s="23"/>
      <c r="L29" s="24" t="s">
        <v>161</v>
      </c>
    </row>
    <row r="30" spans="2:12" ht="15.75" customHeight="1" x14ac:dyDescent="0.25">
      <c r="B30" s="10" t="s">
        <v>162</v>
      </c>
      <c r="C30" s="16" t="s">
        <v>92</v>
      </c>
      <c r="D30" s="17">
        <v>225000</v>
      </c>
      <c r="E30" s="22">
        <f>IF($D30="","",$D30*INDEX(Допущения!$C$25:$G$30,MATCH($C30,Допущения!$B$25:$B$30,0),1))</f>
        <v>225000</v>
      </c>
      <c r="F30" s="22">
        <f>IF($D30="","",$D30*INDEX(Допущения!$C$25:$G$30,MATCH($C30,Допущения!$B$25:$B$30,0),2))</f>
        <v>900000</v>
      </c>
      <c r="G30" s="22">
        <f>IF($D30="","",$D30*INDEX(Допущения!$C$25:$G$30,MATCH($C30,Допущения!$B$25:$B$30,0),3))</f>
        <v>2250000</v>
      </c>
      <c r="H30" s="22">
        <f>IF($D30="","",$D30*INDEX(Допущения!$C$25:$G$30,MATCH($C30,Допущения!$B$25:$B$30,0),4))</f>
        <v>3600000</v>
      </c>
      <c r="I30" s="22">
        <f>IF($D30="","",$D30*INDEX(Допущения!$C$25:$G$30,MATCH($C30,Допущения!$B$25:$B$30,0),5))</f>
        <v>4800000</v>
      </c>
      <c r="J30" s="22">
        <f>SUM(E30:I30)</f>
        <v>11775000</v>
      </c>
      <c r="K30" s="23"/>
      <c r="L30" s="24" t="s">
        <v>163</v>
      </c>
    </row>
    <row r="31" spans="2:12" ht="15.75" customHeight="1" x14ac:dyDescent="0.25">
      <c r="B31" s="10" t="s">
        <v>164</v>
      </c>
      <c r="C31" s="16" t="s">
        <v>92</v>
      </c>
      <c r="D31" s="17">
        <v>10500</v>
      </c>
      <c r="E31" s="22">
        <f>IF($D31="","",$D31*INDEX(Допущения!$C$25:$G$30,MATCH($C31,Допущения!$B$25:$B$30,0),1))</f>
        <v>10500</v>
      </c>
      <c r="F31" s="22">
        <f>IF($D31="","",$D31*INDEX(Допущения!$C$25:$G$30,MATCH($C31,Допущения!$B$25:$B$30,0),2))</f>
        <v>42000</v>
      </c>
      <c r="G31" s="22">
        <f>IF($D31="","",$D31*INDEX(Допущения!$C$25:$G$30,MATCH($C31,Допущения!$B$25:$B$30,0),3))</f>
        <v>105000</v>
      </c>
      <c r="H31" s="22">
        <f>IF($D31="","",$D31*INDEX(Допущения!$C$25:$G$30,MATCH($C31,Допущения!$B$25:$B$30,0),4))</f>
        <v>168000</v>
      </c>
      <c r="I31" s="22">
        <f>IF($D31="","",$D31*INDEX(Допущения!$C$25:$G$30,MATCH($C31,Допущения!$B$25:$B$30,0),5))</f>
        <v>224000</v>
      </c>
      <c r="J31" s="22">
        <f>SUM(E31:I31)</f>
        <v>549500</v>
      </c>
      <c r="K31" s="23"/>
      <c r="L31" s="24" t="s">
        <v>165</v>
      </c>
    </row>
    <row r="32" spans="2:12" ht="15.75" customHeight="1" x14ac:dyDescent="0.25">
      <c r="B32" s="25" t="s">
        <v>141</v>
      </c>
      <c r="C32" s="26"/>
      <c r="D32" s="26"/>
      <c r="E32" s="27">
        <f t="shared" ref="E32:J32" si="4">SUM(E27:E31)</f>
        <v>876000</v>
      </c>
      <c r="F32" s="27">
        <f t="shared" si="4"/>
        <v>3612000</v>
      </c>
      <c r="G32" s="27">
        <f t="shared" si="4"/>
        <v>9300000</v>
      </c>
      <c r="H32" s="27">
        <f t="shared" si="4"/>
        <v>15312000.000000002</v>
      </c>
      <c r="I32" s="27">
        <f t="shared" si="4"/>
        <v>20992000</v>
      </c>
      <c r="J32" s="27">
        <f t="shared" si="4"/>
        <v>50092000</v>
      </c>
      <c r="K32" s="28">
        <f>IFERROR(J32/$J$51,0)</f>
        <v>0.65181040280551594</v>
      </c>
      <c r="L32" s="26"/>
    </row>
    <row r="33" spans="2:18" ht="15.75" customHeight="1" x14ac:dyDescent="0.25">
      <c r="C33" s="29"/>
    </row>
    <row r="34" spans="2:18" ht="15.75" customHeight="1" x14ac:dyDescent="0.25">
      <c r="B34" s="7" t="s">
        <v>166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8" ht="15.75" customHeight="1" x14ac:dyDescent="0.25">
      <c r="B35" s="10" t="s">
        <v>167</v>
      </c>
      <c r="C35" s="16" t="s">
        <v>88</v>
      </c>
      <c r="D35" s="17">
        <f>N35*Допущения!$C$42</f>
        <v>680000</v>
      </c>
      <c r="E35" s="22">
        <f>N35*Допущения!$C$42*Допущения!C$27</f>
        <v>680000</v>
      </c>
      <c r="F35" s="22">
        <f>O35*Допущения!$C$42*Допущения!D$27</f>
        <v>1122000</v>
      </c>
      <c r="G35" s="22">
        <f>P35*Допущения!$C$42*Допущения!E$27</f>
        <v>1748450.0000000002</v>
      </c>
      <c r="H35" s="22">
        <f>Q35*Допущения!$C$42*Допущения!F$27</f>
        <v>2375835.0000000009</v>
      </c>
      <c r="I35" s="22">
        <f>R35*Допущения!$C$42*Допущения!G$27</f>
        <v>3111212.5000000014</v>
      </c>
      <c r="J35" s="22">
        <f>SUM(E35:I35)</f>
        <v>9037497.5000000019</v>
      </c>
      <c r="K35" s="23"/>
      <c r="L35" s="24" t="s">
        <v>168</v>
      </c>
      <c r="N35" s="43">
        <v>8</v>
      </c>
      <c r="O35" s="43">
        <v>12</v>
      </c>
      <c r="P35" s="43">
        <v>17</v>
      </c>
      <c r="Q35" s="43">
        <v>21</v>
      </c>
      <c r="R35" s="43">
        <v>25</v>
      </c>
    </row>
    <row r="36" spans="2:18" ht="15.75" customHeight="1" x14ac:dyDescent="0.25">
      <c r="B36" s="10" t="s">
        <v>169</v>
      </c>
      <c r="C36" s="16" t="s">
        <v>88</v>
      </c>
      <c r="D36" s="17">
        <f>N36*Допущения!$C$43</f>
        <v>200000</v>
      </c>
      <c r="E36" s="22">
        <f>N36*Допущения!$C$43*Допущения!C$27</f>
        <v>200000</v>
      </c>
      <c r="F36" s="22">
        <f>O36*Допущения!$C$43*Допущения!D$27</f>
        <v>330000</v>
      </c>
      <c r="G36" s="22">
        <f>P36*Допущения!$C$43*Допущения!E$27</f>
        <v>484000.00000000006</v>
      </c>
      <c r="H36" s="22">
        <f>Q36*Допущения!$C$43*Допущения!F$27</f>
        <v>798600.00000000023</v>
      </c>
      <c r="I36" s="22">
        <f>R36*Допущения!$C$43*Допущения!G$27</f>
        <v>878460.00000000035</v>
      </c>
      <c r="J36" s="22">
        <f>SUM(E36:I36)</f>
        <v>2691060.0000000005</v>
      </c>
      <c r="K36" s="23"/>
      <c r="L36" s="24" t="s">
        <v>170</v>
      </c>
      <c r="N36" s="43">
        <v>2</v>
      </c>
      <c r="O36" s="43">
        <v>3</v>
      </c>
      <c r="P36" s="43">
        <v>4</v>
      </c>
      <c r="Q36" s="43">
        <v>6</v>
      </c>
      <c r="R36" s="43">
        <v>6</v>
      </c>
    </row>
    <row r="37" spans="2:18" ht="15.75" customHeight="1" x14ac:dyDescent="0.25">
      <c r="B37" s="10" t="s">
        <v>171</v>
      </c>
      <c r="C37" s="16" t="s">
        <v>88</v>
      </c>
      <c r="D37" s="17">
        <v>50000</v>
      </c>
      <c r="E37" s="42">
        <v>50000</v>
      </c>
      <c r="F37" s="42">
        <v>80000</v>
      </c>
      <c r="G37" s="42">
        <v>110000</v>
      </c>
      <c r="H37" s="42">
        <v>140000</v>
      </c>
      <c r="I37" s="42">
        <v>160000</v>
      </c>
      <c r="J37" s="22">
        <f>SUM(E37:I37)</f>
        <v>540000</v>
      </c>
      <c r="K37" s="23"/>
      <c r="L37" s="24" t="s">
        <v>237</v>
      </c>
    </row>
    <row r="38" spans="2:18" ht="15.75" customHeight="1" x14ac:dyDescent="0.25">
      <c r="B38" s="10" t="s">
        <v>173</v>
      </c>
      <c r="C38" s="16" t="s">
        <v>88</v>
      </c>
      <c r="D38" s="17">
        <v>300000</v>
      </c>
      <c r="E38" s="22">
        <f>IF($D38="","",$D38*INDEX(Допущения!$C$25:$G$30,MATCH($C38,Допущения!$B$25:$B$30,0),1))</f>
        <v>300000</v>
      </c>
      <c r="F38" s="22">
        <f>IF($D38="","",$D38*INDEX(Допущения!$C$25:$G$30,MATCH($C38,Допущения!$B$25:$B$30,0),2))</f>
        <v>330000</v>
      </c>
      <c r="G38" s="22">
        <f>IF($D38="","",$D38*INDEX(Допущения!$C$25:$G$30,MATCH($C38,Допущения!$B$25:$B$30,0),3))</f>
        <v>363000.00000000006</v>
      </c>
      <c r="H38" s="22">
        <f>IF($D38="","",$D38*INDEX(Допущения!$C$25:$G$30,MATCH($C38,Допущения!$B$25:$B$30,0),4))</f>
        <v>399300.00000000012</v>
      </c>
      <c r="I38" s="22">
        <f>IF($D38="","",$D38*INDEX(Допущения!$C$25:$G$30,MATCH($C38,Допущения!$B$25:$B$30,0),5))</f>
        <v>439230.00000000017</v>
      </c>
      <c r="J38" s="22">
        <f>SUM(E38:I38)</f>
        <v>1831530.0000000002</v>
      </c>
      <c r="K38" s="23"/>
      <c r="L38" s="24" t="s">
        <v>238</v>
      </c>
    </row>
    <row r="39" spans="2:18" ht="15.75" customHeight="1" x14ac:dyDescent="0.25">
      <c r="B39" s="10"/>
      <c r="C39" s="16" t="s">
        <v>84</v>
      </c>
      <c r="D39" s="17"/>
      <c r="E39" s="22" t="str">
        <f>IF($D39="","",$D39*INDEX(Допущения!$C$25:$G$30,MATCH($C39,Допущения!$B$25:$B$30,0),1))</f>
        <v/>
      </c>
      <c r="F39" s="22" t="str">
        <f>IF($D39="","",$D39*INDEX(Допущения!$C$25:$G$30,MATCH($C39,Допущения!$B$25:$B$30,0),2))</f>
        <v/>
      </c>
      <c r="G39" s="22" t="str">
        <f>IF($D39="","",$D39*INDEX(Допущения!$C$25:$G$30,MATCH($C39,Допущения!$B$25:$B$30,0),3))</f>
        <v/>
      </c>
      <c r="H39" s="22" t="str">
        <f>IF($D39="","",$D39*INDEX(Допущения!$C$25:$G$30,MATCH($C39,Допущения!$B$25:$B$30,0),4))</f>
        <v/>
      </c>
      <c r="I39" s="22" t="str">
        <f>IF($D39="","",$D39*INDEX(Допущения!$C$25:$G$30,MATCH($C39,Допущения!$B$25:$B$30,0),5))</f>
        <v/>
      </c>
      <c r="J39" s="22">
        <f>SUM(E39:I39)</f>
        <v>0</v>
      </c>
      <c r="K39" s="23"/>
      <c r="L39" s="24" t="s">
        <v>175</v>
      </c>
    </row>
    <row r="40" spans="2:18" ht="15.75" customHeight="1" x14ac:dyDescent="0.25">
      <c r="B40" s="25" t="s">
        <v>141</v>
      </c>
      <c r="C40" s="26"/>
      <c r="D40" s="26"/>
      <c r="E40" s="27">
        <f t="shared" ref="E40:J40" si="5">SUM(E35:E39)</f>
        <v>1230000</v>
      </c>
      <c r="F40" s="27">
        <f t="shared" si="5"/>
        <v>1862000</v>
      </c>
      <c r="G40" s="27">
        <f t="shared" si="5"/>
        <v>2705450.0000000005</v>
      </c>
      <c r="H40" s="27">
        <f t="shared" si="5"/>
        <v>3713735.0000000009</v>
      </c>
      <c r="I40" s="27">
        <f t="shared" si="5"/>
        <v>4588902.5000000019</v>
      </c>
      <c r="J40" s="27">
        <f t="shared" si="5"/>
        <v>14100087.500000002</v>
      </c>
      <c r="K40" s="28">
        <f>IFERROR(J40/$J$51,0)</f>
        <v>0.18347408194857504</v>
      </c>
      <c r="L40" s="26"/>
    </row>
    <row r="41" spans="2:18" ht="15.75" customHeight="1" x14ac:dyDescent="0.25">
      <c r="C41" s="29"/>
    </row>
    <row r="42" spans="2:18" ht="15.75" customHeight="1" x14ac:dyDescent="0.25">
      <c r="B42" s="7" t="s">
        <v>176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2:18" ht="15.75" customHeight="1" x14ac:dyDescent="0.25">
      <c r="B43" s="10" t="s">
        <v>177</v>
      </c>
      <c r="C43" s="16" t="s">
        <v>84</v>
      </c>
      <c r="D43" s="17">
        <v>30000</v>
      </c>
      <c r="E43" s="42">
        <v>30000</v>
      </c>
      <c r="F43" s="42">
        <v>15000</v>
      </c>
      <c r="G43" s="42">
        <v>15750</v>
      </c>
      <c r="H43" s="42">
        <v>16538</v>
      </c>
      <c r="I43" s="42">
        <v>17364</v>
      </c>
      <c r="J43" s="22">
        <f>SUM(E43:I43)</f>
        <v>94652</v>
      </c>
      <c r="K43" s="23"/>
      <c r="L43" s="24" t="s">
        <v>239</v>
      </c>
    </row>
    <row r="44" spans="2:18" ht="15.75" customHeight="1" x14ac:dyDescent="0.25">
      <c r="B44" s="10" t="s">
        <v>179</v>
      </c>
      <c r="C44" s="16" t="s">
        <v>86</v>
      </c>
      <c r="D44" s="17">
        <v>20000</v>
      </c>
      <c r="E44" s="22">
        <f>IF($D44="","",$D44*INDEX(Допущения!$C$25:$G$30,MATCH($C44,Допущения!$B$25:$B$30,0),1))</f>
        <v>20000</v>
      </c>
      <c r="F44" s="22">
        <f>IF($D44="","",$D44*INDEX(Допущения!$C$25:$G$30,MATCH($C44,Допущения!$B$25:$B$30,0),2))</f>
        <v>21000</v>
      </c>
      <c r="G44" s="22">
        <f>IF($D44="","",$D44*INDEX(Допущения!$C$25:$G$30,MATCH($C44,Допущения!$B$25:$B$30,0),3))</f>
        <v>22050</v>
      </c>
      <c r="H44" s="22">
        <f>IF($D44="","",$D44*INDEX(Допущения!$C$25:$G$30,MATCH($C44,Допущения!$B$25:$B$30,0),4))</f>
        <v>23152.500000000004</v>
      </c>
      <c r="I44" s="22">
        <f>IF($D44="","",$D44*INDEX(Допущения!$C$25:$G$30,MATCH($C44,Допущения!$B$25:$B$30,0),5))</f>
        <v>24310.125000000004</v>
      </c>
      <c r="J44" s="22">
        <f>SUM(E44:I44)</f>
        <v>110512.625</v>
      </c>
      <c r="K44" s="23"/>
      <c r="L44" s="24" t="s">
        <v>240</v>
      </c>
    </row>
    <row r="45" spans="2:18" ht="15.75" customHeight="1" x14ac:dyDescent="0.25">
      <c r="B45" s="10" t="s">
        <v>181</v>
      </c>
      <c r="C45" s="16" t="s">
        <v>84</v>
      </c>
      <c r="D45" s="17">
        <v>20000</v>
      </c>
      <c r="E45" s="42">
        <v>20000</v>
      </c>
      <c r="F45" s="42">
        <v>0</v>
      </c>
      <c r="G45" s="42">
        <v>0</v>
      </c>
      <c r="H45" s="42">
        <v>0</v>
      </c>
      <c r="I45" s="42">
        <v>0</v>
      </c>
      <c r="J45" s="22">
        <f>SUM(E45:I45)</f>
        <v>20000</v>
      </c>
      <c r="K45" s="23"/>
      <c r="L45" s="24" t="s">
        <v>241</v>
      </c>
    </row>
    <row r="46" spans="2:18" ht="15.75" customHeight="1" x14ac:dyDescent="0.25">
      <c r="B46" s="10" t="s">
        <v>183</v>
      </c>
      <c r="C46" s="16" t="s">
        <v>84</v>
      </c>
      <c r="D46" s="17">
        <v>25000</v>
      </c>
      <c r="E46" s="42">
        <v>25000</v>
      </c>
      <c r="F46" s="42">
        <v>20000</v>
      </c>
      <c r="G46" s="42">
        <v>20000</v>
      </c>
      <c r="H46" s="42">
        <v>20000</v>
      </c>
      <c r="I46" s="42">
        <v>20000</v>
      </c>
      <c r="J46" s="22">
        <f>SUM(E46:I46)</f>
        <v>105000</v>
      </c>
      <c r="K46" s="23"/>
      <c r="L46" s="24" t="s">
        <v>242</v>
      </c>
    </row>
    <row r="47" spans="2:18" ht="15.75" customHeight="1" x14ac:dyDescent="0.25">
      <c r="B47" s="10"/>
      <c r="C47" s="16" t="s">
        <v>84</v>
      </c>
      <c r="D47" s="17"/>
      <c r="E47" s="22" t="str">
        <f>IF($D47="","",$D47*INDEX(Допущения!$C$25:$G$30,MATCH($C47,Допущения!$B$25:$B$30,0),1))</f>
        <v/>
      </c>
      <c r="F47" s="22" t="str">
        <f>IF($D47="","",$D47*INDEX(Допущения!$C$25:$G$30,MATCH($C47,Допущения!$B$25:$B$30,0),2))</f>
        <v/>
      </c>
      <c r="G47" s="22" t="str">
        <f>IF($D47="","",$D47*INDEX(Допущения!$C$25:$G$30,MATCH($C47,Допущения!$B$25:$B$30,0),3))</f>
        <v/>
      </c>
      <c r="H47" s="22" t="str">
        <f>IF($D47="","",$D47*INDEX(Допущения!$C$25:$G$30,MATCH($C47,Допущения!$B$25:$B$30,0),4))</f>
        <v/>
      </c>
      <c r="I47" s="22" t="str">
        <f>IF($D47="","",$D47*INDEX(Допущения!$C$25:$G$30,MATCH($C47,Допущения!$B$25:$B$30,0),5))</f>
        <v/>
      </c>
      <c r="J47" s="22">
        <f>SUM(E47:I47)</f>
        <v>0</v>
      </c>
      <c r="K47" s="23"/>
      <c r="L47" s="24" t="s">
        <v>175</v>
      </c>
    </row>
    <row r="48" spans="2:18" ht="15.75" customHeight="1" x14ac:dyDescent="0.25">
      <c r="B48" s="25" t="s">
        <v>141</v>
      </c>
      <c r="C48" s="26"/>
      <c r="D48" s="26"/>
      <c r="E48" s="27">
        <f t="shared" ref="E48:J48" si="6">SUM(E43:E47)</f>
        <v>95000</v>
      </c>
      <c r="F48" s="27">
        <f t="shared" si="6"/>
        <v>56000</v>
      </c>
      <c r="G48" s="27">
        <f t="shared" si="6"/>
        <v>57800</v>
      </c>
      <c r="H48" s="27">
        <f t="shared" si="6"/>
        <v>59690.5</v>
      </c>
      <c r="I48" s="27">
        <f t="shared" si="6"/>
        <v>61674.125</v>
      </c>
      <c r="J48" s="27">
        <f t="shared" si="6"/>
        <v>330164.625</v>
      </c>
      <c r="K48" s="28">
        <f>IFERROR(J48/$J$51,0)</f>
        <v>4.2961897551182246E-3</v>
      </c>
      <c r="L48" s="26"/>
    </row>
    <row r="49" spans="2:12" ht="15.75" customHeight="1" x14ac:dyDescent="0.25">
      <c r="C49" s="29"/>
    </row>
    <row r="50" spans="2:12" ht="15.75" customHeight="1" x14ac:dyDescent="0.25">
      <c r="B50" s="14" t="s">
        <v>185</v>
      </c>
      <c r="C50" s="29"/>
      <c r="E50" s="30">
        <f>(E15+E24+E32+E40+E48)*Допущения!$C$17</f>
        <v>345462</v>
      </c>
      <c r="F50" s="30">
        <f>(F15+F24+F32+F40+F48)*Допущения!$C$17</f>
        <v>863644.5</v>
      </c>
      <c r="G50" s="30">
        <f>(G15+G24+G32+G40+G48)*Допущения!$C$17</f>
        <v>1874988.9749999999</v>
      </c>
      <c r="H50" s="30">
        <f>(H15+H24+H32+H40+H48)*Допущения!$C$17</f>
        <v>2964093.8737500003</v>
      </c>
      <c r="I50" s="30">
        <f>(I15+I24+I32+I40+I48)*Допущения!$C$17</f>
        <v>3975797.8449375001</v>
      </c>
      <c r="J50" s="22">
        <f>SUM(E50:I50)</f>
        <v>10023987.1936875</v>
      </c>
      <c r="L50" s="6" t="s">
        <v>186</v>
      </c>
    </row>
    <row r="51" spans="2:12" ht="15.75" customHeight="1" x14ac:dyDescent="0.25">
      <c r="B51" s="25" t="s">
        <v>187</v>
      </c>
      <c r="C51" s="29"/>
      <c r="E51" s="27">
        <f>E15+E24+E32+E40+E48+E50</f>
        <v>2648542</v>
      </c>
      <c r="F51" s="27">
        <f>F15+F24+F32+F40+F48+F50</f>
        <v>6621274.5</v>
      </c>
      <c r="G51" s="27">
        <f>G15+G24+G32+G40+G48+G50</f>
        <v>14374915.475</v>
      </c>
      <c r="H51" s="27">
        <f>H15+H24+H32+H40+H48+H50</f>
        <v>22724719.698750004</v>
      </c>
      <c r="I51" s="27">
        <f>I15+I24+I32+I40+I48+I50</f>
        <v>30481116.811187502</v>
      </c>
      <c r="J51" s="27">
        <f>SUM(E51:I51)</f>
        <v>76850568.484937504</v>
      </c>
    </row>
    <row r="52" spans="2:12" ht="15.75" customHeight="1" x14ac:dyDescent="0.25">
      <c r="B52" s="7" t="s">
        <v>188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2:12" ht="15.75" customHeight="1" x14ac:dyDescent="0.25">
      <c r="B53" s="10" t="s">
        <v>189</v>
      </c>
      <c r="E53" s="30">
        <f>(1-Допущения!C40)*525600*Допущения!C38*Допущения!$C$21</f>
        <v>49499.99999999455</v>
      </c>
      <c r="F53" s="30">
        <f>(1-Допущения!D40)*525600*Допущения!D38*Допущения!$C$21</f>
        <v>206999.99999997721</v>
      </c>
      <c r="G53" s="30">
        <f>(1-Допущения!E40)*525600*Допущения!E38*Допущения!$C$21</f>
        <v>539999.99999994051</v>
      </c>
      <c r="H53" s="30">
        <f>(1-Допущения!F40)*525600*Допущения!F38*Допущения!$C$21</f>
        <v>179999.99999998015</v>
      </c>
      <c r="I53" s="30">
        <f>(1-Допущения!G40)*525600*Допущения!G38*Допущения!$C$21</f>
        <v>249599.99999997253</v>
      </c>
      <c r="J53" s="22">
        <f>SUM(E53:I53)</f>
        <v>1226099.999999865</v>
      </c>
      <c r="L53" s="12" t="s">
        <v>190</v>
      </c>
    </row>
    <row r="54" spans="2:12" ht="15.75" customHeight="1" x14ac:dyDescent="0.25">
      <c r="B54" s="25" t="s">
        <v>191</v>
      </c>
      <c r="E54" s="27">
        <f>E51+E53</f>
        <v>2698041.9999999944</v>
      </c>
      <c r="F54" s="27">
        <f>F51+F53</f>
        <v>6828274.4999999776</v>
      </c>
      <c r="G54" s="27">
        <f>G51+G53</f>
        <v>14914915.47499994</v>
      </c>
      <c r="H54" s="27">
        <f>H51+H53</f>
        <v>22904719.698749986</v>
      </c>
      <c r="I54" s="27">
        <f>I51+I53</f>
        <v>30730716.811187476</v>
      </c>
      <c r="J54" s="27">
        <f>SUM(E54:I54)</f>
        <v>78076668.48493737</v>
      </c>
    </row>
    <row r="55" spans="2:12" ht="15.75" customHeight="1" x14ac:dyDescent="0.25">
      <c r="B55" s="10" t="s">
        <v>192</v>
      </c>
      <c r="E55" s="31">
        <f>1/(1+Допущения!$C$16)^0</f>
        <v>1</v>
      </c>
      <c r="F55" s="31">
        <f>1/(1+Допущения!$C$16)^1</f>
        <v>0.8</v>
      </c>
      <c r="G55" s="31">
        <f>1/(1+Допущения!$C$16)^2</f>
        <v>0.64</v>
      </c>
      <c r="H55" s="31">
        <f>1/(1+Допущения!$C$16)^3</f>
        <v>0.51200000000000001</v>
      </c>
      <c r="I55" s="31">
        <f>1/(1+Допущения!$C$16)^4</f>
        <v>0.40960000000000002</v>
      </c>
    </row>
    <row r="56" spans="2:12" ht="15.75" customHeight="1" x14ac:dyDescent="0.25">
      <c r="B56" s="25" t="s">
        <v>193</v>
      </c>
      <c r="E56" s="27">
        <f>E54*E55</f>
        <v>2698041.9999999944</v>
      </c>
      <c r="F56" s="27">
        <f>F54*F55</f>
        <v>5462619.5999999829</v>
      </c>
      <c r="G56" s="27">
        <f>G54*G55</f>
        <v>9545545.9039999619</v>
      </c>
      <c r="H56" s="27">
        <f>H54*H55</f>
        <v>11727216.485759992</v>
      </c>
      <c r="I56" s="27">
        <f>I54*I55</f>
        <v>12587301.60586239</v>
      </c>
      <c r="J56" s="27">
        <f>SUM(E56:I56)</f>
        <v>42020725.595622323</v>
      </c>
    </row>
    <row r="57" spans="2:12" ht="15.75" customHeight="1" x14ac:dyDescent="0.25"/>
    <row r="58" spans="2:12" ht="15.75" customHeight="1" x14ac:dyDescent="0.25">
      <c r="B58" s="7" t="s">
        <v>194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2:12" ht="15.75" customHeight="1" x14ac:dyDescent="0.25">
      <c r="B59" s="14" t="s">
        <v>195</v>
      </c>
      <c r="E59" s="51">
        <f>J51</f>
        <v>76850568.484937504</v>
      </c>
      <c r="F59" s="52"/>
      <c r="L59" s="12" t="s">
        <v>196</v>
      </c>
    </row>
    <row r="60" spans="2:12" ht="15.75" customHeight="1" x14ac:dyDescent="0.25">
      <c r="B60" s="14" t="s">
        <v>197</v>
      </c>
      <c r="E60" s="51">
        <f>J54</f>
        <v>78076668.48493737</v>
      </c>
      <c r="F60" s="52"/>
      <c r="L60" s="12" t="s">
        <v>198</v>
      </c>
    </row>
    <row r="61" spans="2:12" ht="15.75" customHeight="1" x14ac:dyDescent="0.25">
      <c r="B61" s="14" t="s">
        <v>199</v>
      </c>
      <c r="E61" s="51">
        <f>J56</f>
        <v>42020725.595622323</v>
      </c>
      <c r="F61" s="52"/>
      <c r="L61" s="12" t="s">
        <v>200</v>
      </c>
    </row>
    <row r="62" spans="2:12" ht="15.75" customHeight="1" x14ac:dyDescent="0.25">
      <c r="B62" s="14" t="s">
        <v>201</v>
      </c>
      <c r="E62" s="51">
        <f>J51/5</f>
        <v>15370113.6969875</v>
      </c>
      <c r="F62" s="52"/>
      <c r="L62" s="12" t="s">
        <v>202</v>
      </c>
    </row>
    <row r="63" spans="2:12" ht="15.75" customHeight="1" x14ac:dyDescent="0.25">
      <c r="B63" s="14" t="s">
        <v>203</v>
      </c>
      <c r="E63" s="51">
        <f>(E15+E24)/12</f>
        <v>8506.6666666666661</v>
      </c>
      <c r="F63" s="52"/>
      <c r="L63" s="12" t="s">
        <v>204</v>
      </c>
    </row>
    <row r="64" spans="2:12" ht="15.75" customHeight="1" x14ac:dyDescent="0.25">
      <c r="B64" s="14" t="s">
        <v>205</v>
      </c>
      <c r="E64" s="65" t="str">
        <f>IF((E15+E24)/12&lt;=Допущения!$C$18,"В бюджете CFO","ПРЕВЫШЕНИЕ бюджета")</f>
        <v>ПРЕВЫШЕНИЕ бюджета</v>
      </c>
      <c r="F64" s="52"/>
      <c r="L64" s="12" t="s">
        <v>206</v>
      </c>
    </row>
    <row r="65" spans="2:12" ht="15.75" customHeight="1" x14ac:dyDescent="0.25">
      <c r="B65" s="14" t="s">
        <v>207</v>
      </c>
      <c r="E65" s="64">
        <f>IFERROR(J51/SUM(Допущения!$C$8:$G$8),0)</f>
        <v>0.97898813356608283</v>
      </c>
      <c r="F65" s="52"/>
      <c r="L65" s="12" t="s">
        <v>208</v>
      </c>
    </row>
    <row r="66" spans="2:12" ht="15.75" customHeight="1" x14ac:dyDescent="0.25">
      <c r="B66" s="14" t="s">
        <v>209</v>
      </c>
      <c r="E66" s="64">
        <f>IFERROR(I51/Допущения!$G$7,0)</f>
        <v>3.3867907567986113</v>
      </c>
      <c r="F66" s="52"/>
      <c r="L66" s="12" t="s">
        <v>210</v>
      </c>
    </row>
    <row r="67" spans="2:12" ht="15.75" customHeight="1" x14ac:dyDescent="0.25">
      <c r="B67" s="14" t="s">
        <v>211</v>
      </c>
      <c r="E67" s="63">
        <f>IFERROR(J51/SUM(Допущения!$C$10:$G$10),0)</f>
        <v>3.9149550934761849E-2</v>
      </c>
      <c r="F67" s="52"/>
      <c r="L67" s="12" t="s">
        <v>212</v>
      </c>
    </row>
    <row r="68" spans="2:12" ht="15.75" customHeight="1" x14ac:dyDescent="0.25">
      <c r="B68" s="14" t="s">
        <v>213</v>
      </c>
      <c r="E68" s="61">
        <f>IFERROR(J15/J51,0)</f>
        <v>2.759719338205914E-2</v>
      </c>
      <c r="F68" s="52"/>
      <c r="L68" s="12" t="s">
        <v>214</v>
      </c>
    </row>
    <row r="69" spans="2:12" ht="15.75" customHeight="1" x14ac:dyDescent="0.25">
      <c r="B69" s="14" t="s">
        <v>215</v>
      </c>
      <c r="E69" s="61">
        <f>IFERROR(J32/J51,0)</f>
        <v>0.65181040280551594</v>
      </c>
      <c r="F69" s="52"/>
      <c r="L69" s="12" t="s">
        <v>216</v>
      </c>
    </row>
    <row r="70" spans="2:12" ht="15.75" customHeight="1" x14ac:dyDescent="0.25">
      <c r="B70" s="14" t="s">
        <v>217</v>
      </c>
      <c r="E70" s="61">
        <f>IFERROR(J40/J51,0)</f>
        <v>0.18347408194857504</v>
      </c>
      <c r="F70" s="52"/>
      <c r="L70" s="12" t="s">
        <v>218</v>
      </c>
    </row>
    <row r="71" spans="2:12" ht="15.75" customHeight="1" x14ac:dyDescent="0.25"/>
    <row r="72" spans="2:12" ht="15.75" customHeight="1" x14ac:dyDescent="0.25">
      <c r="B72" s="62" t="s">
        <v>219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</row>
    <row r="73" spans="2:12" ht="15" customHeight="1" x14ac:dyDescent="0.25">
      <c r="B73" s="53" t="s">
        <v>243</v>
      </c>
      <c r="C73" s="54"/>
      <c r="D73" s="54"/>
      <c r="E73" s="54"/>
      <c r="F73" s="54"/>
      <c r="G73" s="54"/>
      <c r="H73" s="54"/>
      <c r="I73" s="54"/>
      <c r="J73" s="54"/>
      <c r="K73" s="54"/>
      <c r="L73" s="55"/>
    </row>
    <row r="74" spans="2:12" ht="15.75" customHeight="1" x14ac:dyDescent="0.25">
      <c r="B74" s="56"/>
      <c r="C74" s="49"/>
      <c r="D74" s="49"/>
      <c r="E74" s="49"/>
      <c r="F74" s="49"/>
      <c r="G74" s="49"/>
      <c r="H74" s="49"/>
      <c r="I74" s="49"/>
      <c r="J74" s="49"/>
      <c r="K74" s="49"/>
      <c r="L74" s="57"/>
    </row>
    <row r="75" spans="2:12" ht="15.75" customHeight="1" x14ac:dyDescent="0.25">
      <c r="B75" s="58"/>
      <c r="C75" s="59"/>
      <c r="D75" s="59"/>
      <c r="E75" s="59"/>
      <c r="F75" s="59"/>
      <c r="G75" s="59"/>
      <c r="H75" s="59"/>
      <c r="I75" s="59"/>
      <c r="J75" s="59"/>
      <c r="K75" s="59"/>
      <c r="L75" s="60"/>
    </row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9:F69"/>
    <mergeCell ref="E66:F66"/>
    <mergeCell ref="E61:F61"/>
    <mergeCell ref="E60:F60"/>
    <mergeCell ref="E70:F70"/>
    <mergeCell ref="E64:F64"/>
    <mergeCell ref="E65:F65"/>
  </mergeCells>
  <dataValidations count="1">
    <dataValidation type="list" allowBlank="1" sqref="C6:C51" xr:uid="{00000000-0002-0000-0300-000000000000}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4.42578125" defaultRowHeight="15" customHeight="1" x14ac:dyDescent="0.25"/>
  <cols>
    <col min="1" max="1" width="3" style="32" customWidth="1"/>
    <col min="2" max="2" width="44" style="32" customWidth="1"/>
    <col min="3" max="3" width="16" style="32" customWidth="1"/>
    <col min="4" max="4" width="15" style="32" customWidth="1"/>
    <col min="5" max="10" width="14" style="32" customWidth="1"/>
    <col min="11" max="11" width="10" style="32" customWidth="1"/>
    <col min="12" max="12" width="46" style="32" customWidth="1"/>
    <col min="13" max="26" width="8.7109375" style="32" customWidth="1"/>
  </cols>
  <sheetData>
    <row r="1" spans="2:18" x14ac:dyDescent="0.25"/>
    <row r="2" spans="2:18" ht="18" x14ac:dyDescent="0.25">
      <c r="B2" s="1" t="s">
        <v>244</v>
      </c>
    </row>
    <row r="3" spans="2:18" x14ac:dyDescent="0.25">
      <c r="B3" s="6" t="s">
        <v>117</v>
      </c>
    </row>
    <row r="4" spans="2:18" x14ac:dyDescent="0.25">
      <c r="N4" s="33" t="s">
        <v>118</v>
      </c>
    </row>
    <row r="5" spans="2:18" ht="31.5" customHeight="1" x14ac:dyDescent="0.25">
      <c r="B5" s="9" t="s">
        <v>119</v>
      </c>
      <c r="C5" s="9" t="s">
        <v>120</v>
      </c>
      <c r="D5" s="9" t="s">
        <v>121</v>
      </c>
      <c r="E5" s="9" t="s">
        <v>48</v>
      </c>
      <c r="F5" s="9" t="s">
        <v>49</v>
      </c>
      <c r="G5" s="9" t="s">
        <v>50</v>
      </c>
      <c r="H5" s="9" t="s">
        <v>51</v>
      </c>
      <c r="I5" s="9" t="s">
        <v>52</v>
      </c>
      <c r="J5" s="9" t="s">
        <v>122</v>
      </c>
      <c r="K5" s="9" t="s">
        <v>123</v>
      </c>
      <c r="L5" s="9" t="s">
        <v>53</v>
      </c>
      <c r="N5" s="33" t="s">
        <v>48</v>
      </c>
      <c r="O5" s="33" t="s">
        <v>49</v>
      </c>
      <c r="P5" s="33" t="s">
        <v>50</v>
      </c>
      <c r="Q5" s="33" t="s">
        <v>51</v>
      </c>
      <c r="R5" s="33" t="s">
        <v>52</v>
      </c>
    </row>
    <row r="6" spans="2:18" x14ac:dyDescent="0.25">
      <c r="B6" s="7" t="s">
        <v>124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8" ht="36" x14ac:dyDescent="0.25">
      <c r="B7" s="10" t="s">
        <v>125</v>
      </c>
      <c r="C7" s="16" t="s">
        <v>90</v>
      </c>
      <c r="D7" s="17">
        <v>153600</v>
      </c>
      <c r="E7" s="22">
        <f>IF($D7="","",$D7*INDEX(Допущения!$C$25:$G$30,MATCH($C7,Допущения!$B$25:$B$30,0),1))</f>
        <v>153600</v>
      </c>
      <c r="F7" s="22">
        <f>IF($D7="","",$D7*INDEX(Допущения!$C$25:$G$30,MATCH($C7,Допущения!$B$25:$B$30,0),2))</f>
        <v>384000</v>
      </c>
      <c r="G7" s="22">
        <f>IF($D7="","",$D7*INDEX(Допущения!$C$25:$G$30,MATCH($C7,Допущения!$B$25:$B$30,0),3))</f>
        <v>768000</v>
      </c>
      <c r="H7" s="22">
        <f>IF($D7="","",$D7*INDEX(Допущения!$C$25:$G$30,MATCH($C7,Допущения!$B$25:$B$30,0),4))</f>
        <v>1075200</v>
      </c>
      <c r="I7" s="22">
        <f>IF($D7="","",$D7*INDEX(Допущения!$C$25:$G$30,MATCH($C7,Допущения!$B$25:$B$30,0),5))</f>
        <v>1382400</v>
      </c>
      <c r="J7" s="22">
        <f t="shared" ref="J7:J14" si="0">SUM(E7:I7)</f>
        <v>3763200</v>
      </c>
      <c r="K7" s="23"/>
      <c r="L7" s="24" t="s">
        <v>245</v>
      </c>
    </row>
    <row r="8" spans="2:18" ht="24" x14ac:dyDescent="0.25">
      <c r="B8" s="10" t="s">
        <v>127</v>
      </c>
      <c r="C8" s="16" t="s">
        <v>90</v>
      </c>
      <c r="D8" s="17">
        <v>29280</v>
      </c>
      <c r="E8" s="22">
        <f>IF($D8="","",$D8*INDEX(Допущения!$C$25:$G$30,MATCH($C8,Допущения!$B$25:$B$30,0),1))</f>
        <v>29280</v>
      </c>
      <c r="F8" s="22">
        <f>IF($D8="","",$D8*INDEX(Допущения!$C$25:$G$30,MATCH($C8,Допущения!$B$25:$B$30,0),2))</f>
        <v>73200</v>
      </c>
      <c r="G8" s="22">
        <f>IF($D8="","",$D8*INDEX(Допущения!$C$25:$G$30,MATCH($C8,Допущения!$B$25:$B$30,0),3))</f>
        <v>146400</v>
      </c>
      <c r="H8" s="22">
        <f>IF($D8="","",$D8*INDEX(Допущения!$C$25:$G$30,MATCH($C8,Допущения!$B$25:$B$30,0),4))</f>
        <v>204960</v>
      </c>
      <c r="I8" s="22">
        <f>IF($D8="","",$D8*INDEX(Допущения!$C$25:$G$30,MATCH($C8,Допущения!$B$25:$B$30,0),5))</f>
        <v>263520</v>
      </c>
      <c r="J8" s="22">
        <f t="shared" si="0"/>
        <v>717360</v>
      </c>
      <c r="K8" s="23"/>
      <c r="L8" s="24" t="s">
        <v>246</v>
      </c>
    </row>
    <row r="9" spans="2:18" x14ac:dyDescent="0.25">
      <c r="B9" s="10" t="s">
        <v>129</v>
      </c>
      <c r="C9" s="16" t="s">
        <v>90</v>
      </c>
      <c r="D9" s="17">
        <v>3000</v>
      </c>
      <c r="E9" s="22">
        <f>IF($D9="","",$D9*INDEX(Допущения!$C$25:$G$30,MATCH($C9,Допущения!$B$25:$B$30,0),1))</f>
        <v>3000</v>
      </c>
      <c r="F9" s="22">
        <f>IF($D9="","",$D9*INDEX(Допущения!$C$25:$G$30,MATCH($C9,Допущения!$B$25:$B$30,0),2))</f>
        <v>7500</v>
      </c>
      <c r="G9" s="22">
        <f>IF($D9="","",$D9*INDEX(Допущения!$C$25:$G$30,MATCH($C9,Допущения!$B$25:$B$30,0),3))</f>
        <v>15000</v>
      </c>
      <c r="H9" s="22">
        <f>IF($D9="","",$D9*INDEX(Допущения!$C$25:$G$30,MATCH($C9,Допущения!$B$25:$B$30,0),4))</f>
        <v>21000</v>
      </c>
      <c r="I9" s="22">
        <f>IF($D9="","",$D9*INDEX(Допущения!$C$25:$G$30,MATCH($C9,Допущения!$B$25:$B$30,0),5))</f>
        <v>27000</v>
      </c>
      <c r="J9" s="22">
        <f t="shared" si="0"/>
        <v>73500</v>
      </c>
      <c r="K9" s="23"/>
      <c r="L9" s="24" t="s">
        <v>247</v>
      </c>
    </row>
    <row r="10" spans="2:18" x14ac:dyDescent="0.25">
      <c r="B10" s="10" t="s">
        <v>131</v>
      </c>
      <c r="C10" s="16" t="s">
        <v>90</v>
      </c>
      <c r="D10" s="17">
        <v>9800</v>
      </c>
      <c r="E10" s="22">
        <f>IF($D10="","",$D10*INDEX(Допущения!$C$25:$G$30,MATCH($C10,Допущения!$B$25:$B$30,0),1))</f>
        <v>9800</v>
      </c>
      <c r="F10" s="22">
        <f>IF($D10="","",$D10*INDEX(Допущения!$C$25:$G$30,MATCH($C10,Допущения!$B$25:$B$30,0),2))</f>
        <v>24500</v>
      </c>
      <c r="G10" s="22">
        <f>IF($D10="","",$D10*INDEX(Допущения!$C$25:$G$30,MATCH($C10,Допущения!$B$25:$B$30,0),3))</f>
        <v>49000</v>
      </c>
      <c r="H10" s="22">
        <f>IF($D10="","",$D10*INDEX(Допущения!$C$25:$G$30,MATCH($C10,Допущения!$B$25:$B$30,0),4))</f>
        <v>68600</v>
      </c>
      <c r="I10" s="22">
        <f>IF($D10="","",$D10*INDEX(Допущения!$C$25:$G$30,MATCH($C10,Допущения!$B$25:$B$30,0),5))</f>
        <v>88200</v>
      </c>
      <c r="J10" s="22">
        <f t="shared" si="0"/>
        <v>240100</v>
      </c>
      <c r="K10" s="23"/>
      <c r="L10" s="24" t="s">
        <v>248</v>
      </c>
    </row>
    <row r="11" spans="2:18" x14ac:dyDescent="0.25">
      <c r="B11" s="10" t="s">
        <v>133</v>
      </c>
      <c r="C11" s="16" t="s">
        <v>90</v>
      </c>
      <c r="D11" s="17">
        <v>13800</v>
      </c>
      <c r="E11" s="22">
        <f>IF($D11="","",$D11*INDEX(Допущения!$C$25:$G$30,MATCH($C11,Допущения!$B$25:$B$30,0),1))</f>
        <v>13800</v>
      </c>
      <c r="F11" s="22">
        <f>IF($D11="","",$D11*INDEX(Допущения!$C$25:$G$30,MATCH($C11,Допущения!$B$25:$B$30,0),2))</f>
        <v>34500</v>
      </c>
      <c r="G11" s="22">
        <f>IF($D11="","",$D11*INDEX(Допущения!$C$25:$G$30,MATCH($C11,Допущения!$B$25:$B$30,0),3))</f>
        <v>69000</v>
      </c>
      <c r="H11" s="22">
        <f>IF($D11="","",$D11*INDEX(Допущения!$C$25:$G$30,MATCH($C11,Допущения!$B$25:$B$30,0),4))</f>
        <v>96600</v>
      </c>
      <c r="I11" s="22">
        <f>IF($D11="","",$D11*INDEX(Допущения!$C$25:$G$30,MATCH($C11,Допущения!$B$25:$B$30,0),5))</f>
        <v>124200</v>
      </c>
      <c r="J11" s="22">
        <f t="shared" si="0"/>
        <v>338100</v>
      </c>
      <c r="K11" s="23"/>
      <c r="L11" s="24" t="s">
        <v>249</v>
      </c>
    </row>
    <row r="12" spans="2:18" ht="24" x14ac:dyDescent="0.25">
      <c r="B12" s="10" t="s">
        <v>135</v>
      </c>
      <c r="C12" s="16" t="s">
        <v>90</v>
      </c>
      <c r="D12" s="17">
        <v>6120</v>
      </c>
      <c r="E12" s="22">
        <f>IF($D12="","",$D12*INDEX(Допущения!$C$25:$G$30,MATCH($C12,Допущения!$B$25:$B$30,0),1))</f>
        <v>6120</v>
      </c>
      <c r="F12" s="22">
        <f>IF($D12="","",$D12*INDEX(Допущения!$C$25:$G$30,MATCH($C12,Допущения!$B$25:$B$30,0),2))</f>
        <v>15300</v>
      </c>
      <c r="G12" s="22">
        <f>IF($D12="","",$D12*INDEX(Допущения!$C$25:$G$30,MATCH($C12,Допущения!$B$25:$B$30,0),3))</f>
        <v>30600</v>
      </c>
      <c r="H12" s="22">
        <f>IF($D12="","",$D12*INDEX(Допущения!$C$25:$G$30,MATCH($C12,Допущения!$B$25:$B$30,0),4))</f>
        <v>42840</v>
      </c>
      <c r="I12" s="22">
        <f>IF($D12="","",$D12*INDEX(Допущения!$C$25:$G$30,MATCH($C12,Допущения!$B$25:$B$30,0),5))</f>
        <v>55080</v>
      </c>
      <c r="J12" s="22">
        <f t="shared" si="0"/>
        <v>149940</v>
      </c>
      <c r="K12" s="23"/>
      <c r="L12" s="24" t="s">
        <v>250</v>
      </c>
    </row>
    <row r="13" spans="2:18" ht="36" x14ac:dyDescent="0.25">
      <c r="B13" s="10" t="s">
        <v>137</v>
      </c>
      <c r="C13" s="16" t="s">
        <v>86</v>
      </c>
      <c r="D13" s="17">
        <v>24000</v>
      </c>
      <c r="E13" s="22">
        <f>IF($D13="","",$D13*INDEX(Допущения!$C$25:$G$30,MATCH($C13,Допущения!$B$25:$B$30,0),1))</f>
        <v>24000</v>
      </c>
      <c r="F13" s="22">
        <f>IF($D13="","",$D13*INDEX(Допущения!$C$25:$G$30,MATCH($C13,Допущения!$B$25:$B$30,0),2))</f>
        <v>25200</v>
      </c>
      <c r="G13" s="22">
        <f>IF($D13="","",$D13*INDEX(Допущения!$C$25:$G$30,MATCH($C13,Допущения!$B$25:$B$30,0),3))</f>
        <v>26460</v>
      </c>
      <c r="H13" s="22">
        <f>IF($D13="","",$D13*INDEX(Допущения!$C$25:$G$30,MATCH($C13,Допущения!$B$25:$B$30,0),4))</f>
        <v>27783.000000000004</v>
      </c>
      <c r="I13" s="22">
        <f>IF($D13="","",$D13*INDEX(Допущения!$C$25:$G$30,MATCH($C13,Допущения!$B$25:$B$30,0),5))</f>
        <v>29172.150000000005</v>
      </c>
      <c r="J13" s="22">
        <f t="shared" si="0"/>
        <v>132615.15</v>
      </c>
      <c r="K13" s="23"/>
      <c r="L13" s="24" t="s">
        <v>251</v>
      </c>
    </row>
    <row r="14" spans="2:18" ht="36" x14ac:dyDescent="0.25">
      <c r="B14" s="10" t="s">
        <v>252</v>
      </c>
      <c r="C14" s="16" t="s">
        <v>90</v>
      </c>
      <c r="D14" s="17">
        <v>55200</v>
      </c>
      <c r="E14" s="22">
        <f>IF($D14="","",$D14*INDEX(Допущения!$C$25:$G$30,MATCH($C14,Допущения!$B$25:$B$30,0),1))</f>
        <v>55200</v>
      </c>
      <c r="F14" s="22">
        <f>IF($D14="","",$D14*INDEX(Допущения!$C$25:$G$30,MATCH($C14,Допущения!$B$25:$B$30,0),2))</f>
        <v>138000</v>
      </c>
      <c r="G14" s="22">
        <f>IF($D14="","",$D14*INDEX(Допущения!$C$25:$G$30,MATCH($C14,Допущения!$B$25:$B$30,0),3))</f>
        <v>276000</v>
      </c>
      <c r="H14" s="22">
        <f>IF($D14="","",$D14*INDEX(Допущения!$C$25:$G$30,MATCH($C14,Допущения!$B$25:$B$30,0),4))</f>
        <v>386400</v>
      </c>
      <c r="I14" s="22">
        <f>IF($D14="","",$D14*INDEX(Допущения!$C$25:$G$30,MATCH($C14,Допущения!$B$25:$B$30,0),5))</f>
        <v>496800</v>
      </c>
      <c r="J14" s="22">
        <f t="shared" si="0"/>
        <v>1352400</v>
      </c>
      <c r="K14" s="23"/>
      <c r="L14" s="24" t="s">
        <v>253</v>
      </c>
    </row>
    <row r="15" spans="2:18" x14ac:dyDescent="0.25">
      <c r="B15" s="25" t="s">
        <v>141</v>
      </c>
      <c r="C15" s="26"/>
      <c r="D15" s="26"/>
      <c r="E15" s="27">
        <f t="shared" ref="E15:J15" si="1">SUM(E7:E14)</f>
        <v>294800</v>
      </c>
      <c r="F15" s="27">
        <f t="shared" si="1"/>
        <v>702200</v>
      </c>
      <c r="G15" s="27">
        <f t="shared" si="1"/>
        <v>1380460</v>
      </c>
      <c r="H15" s="27">
        <f t="shared" si="1"/>
        <v>1923383</v>
      </c>
      <c r="I15" s="27">
        <f t="shared" si="1"/>
        <v>2466372.15</v>
      </c>
      <c r="J15" s="27">
        <f t="shared" si="1"/>
        <v>6767215.1500000004</v>
      </c>
      <c r="K15" s="28">
        <f>IFERROR(J15/$J$51,0)</f>
        <v>7.573000987728086E-2</v>
      </c>
      <c r="L15" s="26"/>
    </row>
    <row r="16" spans="2:18" x14ac:dyDescent="0.25">
      <c r="C16" s="29"/>
    </row>
    <row r="17" spans="2:12" x14ac:dyDescent="0.25">
      <c r="B17" s="7" t="s">
        <v>142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ht="36" x14ac:dyDescent="0.25">
      <c r="B18" s="10" t="s">
        <v>143</v>
      </c>
      <c r="C18" s="16" t="s">
        <v>90</v>
      </c>
      <c r="D18" s="17">
        <v>3600</v>
      </c>
      <c r="E18" s="22">
        <f>IF($D18="","",$D18*INDEX(Допущения!$C$25:$G$30,MATCH($C18,Допущения!$B$25:$B$30,0),1))</f>
        <v>3600</v>
      </c>
      <c r="F18" s="22">
        <f>IF($D18="","",$D18*INDEX(Допущения!$C$25:$G$30,MATCH($C18,Допущения!$B$25:$B$30,0),2))</f>
        <v>9000</v>
      </c>
      <c r="G18" s="22">
        <f>IF($D18="","",$D18*INDEX(Допущения!$C$25:$G$30,MATCH($C18,Допущения!$B$25:$B$30,0),3))</f>
        <v>18000</v>
      </c>
      <c r="H18" s="22">
        <f>IF($D18="","",$D18*INDEX(Допущения!$C$25:$G$30,MATCH($C18,Допущения!$B$25:$B$30,0),4))</f>
        <v>25200</v>
      </c>
      <c r="I18" s="22">
        <f>IF($D18="","",$D18*INDEX(Допущения!$C$25:$G$30,MATCH($C18,Допущения!$B$25:$B$30,0),5))</f>
        <v>32400</v>
      </c>
      <c r="J18" s="22">
        <f t="shared" ref="J18:J23" si="2">SUM(E18:I18)</f>
        <v>88200</v>
      </c>
      <c r="K18" s="23"/>
      <c r="L18" s="24" t="s">
        <v>254</v>
      </c>
    </row>
    <row r="19" spans="2:12" x14ac:dyDescent="0.25">
      <c r="B19" s="10" t="s">
        <v>145</v>
      </c>
      <c r="C19" s="16" t="s">
        <v>86</v>
      </c>
      <c r="D19" s="17">
        <v>3600</v>
      </c>
      <c r="E19" s="22">
        <f>IF($D19="","",$D19*INDEX(Допущения!$C$25:$G$30,MATCH($C19,Допущения!$B$25:$B$30,0),1))</f>
        <v>3600</v>
      </c>
      <c r="F19" s="22">
        <f>IF($D19="","",$D19*INDEX(Допущения!$C$25:$G$30,MATCH($C19,Допущения!$B$25:$B$30,0),2))</f>
        <v>3780</v>
      </c>
      <c r="G19" s="22">
        <f>IF($D19="","",$D19*INDEX(Допущения!$C$25:$G$30,MATCH($C19,Допущения!$B$25:$B$30,0),3))</f>
        <v>3969</v>
      </c>
      <c r="H19" s="22">
        <f>IF($D19="","",$D19*INDEX(Допущения!$C$25:$G$30,MATCH($C19,Допущения!$B$25:$B$30,0),4))</f>
        <v>4167.4500000000007</v>
      </c>
      <c r="I19" s="22">
        <f>IF($D19="","",$D19*INDEX(Допущения!$C$25:$G$30,MATCH($C19,Допущения!$B$25:$B$30,0),5))</f>
        <v>4375.8225000000011</v>
      </c>
      <c r="J19" s="22">
        <f t="shared" si="2"/>
        <v>19892.272500000003</v>
      </c>
      <c r="K19" s="23"/>
      <c r="L19" s="24" t="s">
        <v>255</v>
      </c>
    </row>
    <row r="20" spans="2:12" x14ac:dyDescent="0.25">
      <c r="B20" s="10" t="s">
        <v>147</v>
      </c>
      <c r="C20" s="16" t="s">
        <v>90</v>
      </c>
      <c r="D20" s="17">
        <v>6000</v>
      </c>
      <c r="E20" s="22">
        <f>IF($D20="","",$D20*INDEX(Допущения!$C$25:$G$30,MATCH($C20,Допущения!$B$25:$B$30,0),1))</f>
        <v>6000</v>
      </c>
      <c r="F20" s="22">
        <f>IF($D20="","",$D20*INDEX(Допущения!$C$25:$G$30,MATCH($C20,Допущения!$B$25:$B$30,0),2))</f>
        <v>15000</v>
      </c>
      <c r="G20" s="22">
        <f>IF($D20="","",$D20*INDEX(Допущения!$C$25:$G$30,MATCH($C20,Допущения!$B$25:$B$30,0),3))</f>
        <v>30000</v>
      </c>
      <c r="H20" s="22">
        <f>IF($D20="","",$D20*INDEX(Допущения!$C$25:$G$30,MATCH($C20,Допущения!$B$25:$B$30,0),4))</f>
        <v>42000</v>
      </c>
      <c r="I20" s="22">
        <f>IF($D20="","",$D20*INDEX(Допущения!$C$25:$G$30,MATCH($C20,Допущения!$B$25:$B$30,0),5))</f>
        <v>54000</v>
      </c>
      <c r="J20" s="22">
        <f t="shared" si="2"/>
        <v>147000</v>
      </c>
      <c r="K20" s="23"/>
      <c r="L20" s="24" t="s">
        <v>256</v>
      </c>
    </row>
    <row r="21" spans="2:12" ht="15.75" customHeight="1" x14ac:dyDescent="0.25">
      <c r="B21" s="10" t="s">
        <v>149</v>
      </c>
      <c r="C21" s="16" t="s">
        <v>86</v>
      </c>
      <c r="D21" s="17">
        <v>600</v>
      </c>
      <c r="E21" s="22">
        <f>IF($D21="","",$D21*INDEX(Допущения!$C$25:$G$30,MATCH($C21,Допущения!$B$25:$B$30,0),1))</f>
        <v>600</v>
      </c>
      <c r="F21" s="22">
        <f>IF($D21="","",$D21*INDEX(Допущения!$C$25:$G$30,MATCH($C21,Допущения!$B$25:$B$30,0),2))</f>
        <v>630</v>
      </c>
      <c r="G21" s="22">
        <f>IF($D21="","",$D21*INDEX(Допущения!$C$25:$G$30,MATCH($C21,Допущения!$B$25:$B$30,0),3))</f>
        <v>661.5</v>
      </c>
      <c r="H21" s="22">
        <f>IF($D21="","",$D21*INDEX(Допущения!$C$25:$G$30,MATCH($C21,Допущения!$B$25:$B$30,0),4))</f>
        <v>694.57500000000005</v>
      </c>
      <c r="I21" s="22">
        <f>IF($D21="","",$D21*INDEX(Допущения!$C$25:$G$30,MATCH($C21,Допущения!$B$25:$B$30,0),5))</f>
        <v>729.30375000000015</v>
      </c>
      <c r="J21" s="22">
        <f t="shared" si="2"/>
        <v>3315.3787499999999</v>
      </c>
      <c r="K21" s="23"/>
      <c r="L21" s="24" t="s">
        <v>234</v>
      </c>
    </row>
    <row r="22" spans="2:12" ht="15.75" customHeight="1" x14ac:dyDescent="0.25">
      <c r="B22" s="10" t="s">
        <v>151</v>
      </c>
      <c r="C22" s="16" t="s">
        <v>86</v>
      </c>
      <c r="D22" s="17">
        <v>2400</v>
      </c>
      <c r="E22" s="22">
        <f>IF($D22="","",$D22*INDEX(Допущения!$C$25:$G$30,MATCH($C22,Допущения!$B$25:$B$30,0),1))</f>
        <v>2400</v>
      </c>
      <c r="F22" s="22">
        <f>IF($D22="","",$D22*INDEX(Допущения!$C$25:$G$30,MATCH($C22,Допущения!$B$25:$B$30,0),2))</f>
        <v>2520</v>
      </c>
      <c r="G22" s="22">
        <f>IF($D22="","",$D22*INDEX(Допущения!$C$25:$G$30,MATCH($C22,Допущения!$B$25:$B$30,0),3))</f>
        <v>2646</v>
      </c>
      <c r="H22" s="22">
        <f>IF($D22="","",$D22*INDEX(Допущения!$C$25:$G$30,MATCH($C22,Допущения!$B$25:$B$30,0),4))</f>
        <v>2778.3</v>
      </c>
      <c r="I22" s="22">
        <f>IF($D22="","",$D22*INDEX(Допущения!$C$25:$G$30,MATCH($C22,Допущения!$B$25:$B$30,0),5))</f>
        <v>2917.2150000000006</v>
      </c>
      <c r="J22" s="22">
        <f t="shared" si="2"/>
        <v>13261.514999999999</v>
      </c>
      <c r="K22" s="23"/>
      <c r="L22" s="24" t="s">
        <v>235</v>
      </c>
    </row>
    <row r="23" spans="2:12" ht="15.75" customHeight="1" x14ac:dyDescent="0.25">
      <c r="B23" s="10" t="s">
        <v>257</v>
      </c>
      <c r="C23" s="16" t="s">
        <v>86</v>
      </c>
      <c r="D23" s="17">
        <v>83600</v>
      </c>
      <c r="E23" s="22">
        <f>IF($D23="","",$D23*INDEX(Допущения!$C$25:$G$30,MATCH($C23,Допущения!$B$25:$B$30,0),1))</f>
        <v>83600</v>
      </c>
      <c r="F23" s="22">
        <f>IF($D23="","",$D23*INDEX(Допущения!$C$25:$G$30,MATCH($C23,Допущения!$B$25:$B$30,0),2))</f>
        <v>87780</v>
      </c>
      <c r="G23" s="22">
        <f>IF($D23="","",$D23*INDEX(Допущения!$C$25:$G$30,MATCH($C23,Допущения!$B$25:$B$30,0),3))</f>
        <v>92169</v>
      </c>
      <c r="H23" s="22">
        <f>IF($D23="","",$D23*INDEX(Допущения!$C$25:$G$30,MATCH($C23,Допущения!$B$25:$B$30,0),4))</f>
        <v>96777.450000000012</v>
      </c>
      <c r="I23" s="22">
        <f>IF($D23="","",$D23*INDEX(Допущения!$C$25:$G$30,MATCH($C23,Допущения!$B$25:$B$30,0),5))</f>
        <v>101616.32250000002</v>
      </c>
      <c r="J23" s="22">
        <f t="shared" si="2"/>
        <v>461942.77250000002</v>
      </c>
      <c r="K23" s="23"/>
      <c r="L23" s="24" t="s">
        <v>258</v>
      </c>
    </row>
    <row r="24" spans="2:12" ht="15.75" customHeight="1" x14ac:dyDescent="0.25">
      <c r="B24" s="25" t="s">
        <v>141</v>
      </c>
      <c r="C24" s="26"/>
      <c r="D24" s="26"/>
      <c r="E24" s="27">
        <f t="shared" ref="E24:J24" si="3">SUM(E18:E23)</f>
        <v>99800</v>
      </c>
      <c r="F24" s="27">
        <f t="shared" si="3"/>
        <v>118710</v>
      </c>
      <c r="G24" s="27">
        <f t="shared" si="3"/>
        <v>147445.5</v>
      </c>
      <c r="H24" s="27">
        <f t="shared" si="3"/>
        <v>171617.77500000002</v>
      </c>
      <c r="I24" s="27">
        <f t="shared" si="3"/>
        <v>196038.66375000004</v>
      </c>
      <c r="J24" s="27">
        <f t="shared" si="3"/>
        <v>733611.93874999997</v>
      </c>
      <c r="K24" s="28">
        <f>IFERROR(J24/$J$51,0)</f>
        <v>8.2096457902079058E-3</v>
      </c>
      <c r="L24" s="26"/>
    </row>
    <row r="25" spans="2:12" ht="15.75" customHeight="1" x14ac:dyDescent="0.25">
      <c r="C25" s="29"/>
    </row>
    <row r="26" spans="2:12" ht="15.75" customHeight="1" x14ac:dyDescent="0.25">
      <c r="B26" s="7" t="s">
        <v>155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5">
      <c r="B27" s="10" t="s">
        <v>156</v>
      </c>
      <c r="C27" s="16" t="s">
        <v>94</v>
      </c>
      <c r="D27" s="17">
        <v>594000</v>
      </c>
      <c r="E27" s="22">
        <f>IF($D27="","",$D27*INDEX(Допущения!$C$25:$G$30,MATCH($C27,Допущения!$B$25:$B$30,0),1))</f>
        <v>594000</v>
      </c>
      <c r="F27" s="22">
        <f>IF($D27="","",$D27*INDEX(Допущения!$C$25:$G$30,MATCH($C27,Допущения!$B$25:$B$30,0),2))</f>
        <v>2484000</v>
      </c>
      <c r="G27" s="22">
        <f>IF($D27="","",$D27*INDEX(Допущения!$C$25:$G$30,MATCH($C27,Допущения!$B$25:$B$30,0),3))</f>
        <v>6479999.9999999991</v>
      </c>
      <c r="H27" s="22">
        <f>IF($D27="","",$D27*INDEX(Допущения!$C$25:$G$30,MATCH($C27,Допущения!$B$25:$B$30,0),4))</f>
        <v>10800000.000000002</v>
      </c>
      <c r="I27" s="22">
        <f>IF($D27="","",$D27*INDEX(Допущения!$C$25:$G$30,MATCH($C27,Допущения!$B$25:$B$30,0),5))</f>
        <v>14976000</v>
      </c>
      <c r="J27" s="22">
        <f>SUM(E27:I27)</f>
        <v>35334000</v>
      </c>
      <c r="K27" s="23"/>
      <c r="L27" s="24" t="s">
        <v>157</v>
      </c>
    </row>
    <row r="28" spans="2:12" ht="15.75" customHeight="1" x14ac:dyDescent="0.25">
      <c r="B28" s="10" t="s">
        <v>158</v>
      </c>
      <c r="C28" s="16" t="s">
        <v>92</v>
      </c>
      <c r="D28" s="17">
        <v>30000</v>
      </c>
      <c r="E28" s="22">
        <f>IF($D28="","",$D28*INDEX(Допущения!$C$25:$G$30,MATCH($C28,Допущения!$B$25:$B$30,0),1))</f>
        <v>30000</v>
      </c>
      <c r="F28" s="22">
        <f>IF($D28="","",$D28*INDEX(Допущения!$C$25:$G$30,MATCH($C28,Допущения!$B$25:$B$30,0),2))</f>
        <v>120000</v>
      </c>
      <c r="G28" s="22">
        <f>IF($D28="","",$D28*INDEX(Допущения!$C$25:$G$30,MATCH($C28,Допущения!$B$25:$B$30,0),3))</f>
        <v>300000</v>
      </c>
      <c r="H28" s="22">
        <f>IF($D28="","",$D28*INDEX(Допущения!$C$25:$G$30,MATCH($C28,Допущения!$B$25:$B$30,0),4))</f>
        <v>480000</v>
      </c>
      <c r="I28" s="22">
        <f>IF($D28="","",$D28*INDEX(Допущения!$C$25:$G$30,MATCH($C28,Допущения!$B$25:$B$30,0),5))</f>
        <v>640000</v>
      </c>
      <c r="J28" s="22">
        <f>SUM(E28:I28)</f>
        <v>1570000</v>
      </c>
      <c r="K28" s="23"/>
      <c r="L28" s="24" t="s">
        <v>159</v>
      </c>
    </row>
    <row r="29" spans="2:12" ht="15.75" customHeight="1" x14ac:dyDescent="0.25">
      <c r="B29" s="10" t="s">
        <v>160</v>
      </c>
      <c r="C29" s="16" t="s">
        <v>92</v>
      </c>
      <c r="D29" s="17">
        <v>16500</v>
      </c>
      <c r="E29" s="22">
        <f>IF($D29="","",$D29*INDEX(Допущения!$C$25:$G$30,MATCH($C29,Допущения!$B$25:$B$30,0),1))</f>
        <v>16500</v>
      </c>
      <c r="F29" s="22">
        <f>IF($D29="","",$D29*INDEX(Допущения!$C$25:$G$30,MATCH($C29,Допущения!$B$25:$B$30,0),2))</f>
        <v>66000</v>
      </c>
      <c r="G29" s="22">
        <f>IF($D29="","",$D29*INDEX(Допущения!$C$25:$G$30,MATCH($C29,Допущения!$B$25:$B$30,0),3))</f>
        <v>165000</v>
      </c>
      <c r="H29" s="22">
        <f>IF($D29="","",$D29*INDEX(Допущения!$C$25:$G$30,MATCH($C29,Допущения!$B$25:$B$30,0),4))</f>
        <v>264000</v>
      </c>
      <c r="I29" s="22">
        <f>IF($D29="","",$D29*INDEX(Допущения!$C$25:$G$30,MATCH($C29,Допущения!$B$25:$B$30,0),5))</f>
        <v>352000</v>
      </c>
      <c r="J29" s="22">
        <f>SUM(E29:I29)</f>
        <v>863500</v>
      </c>
      <c r="K29" s="23"/>
      <c r="L29" s="24" t="s">
        <v>161</v>
      </c>
    </row>
    <row r="30" spans="2:12" ht="15.75" customHeight="1" x14ac:dyDescent="0.25">
      <c r="B30" s="10" t="s">
        <v>162</v>
      </c>
      <c r="C30" s="16" t="s">
        <v>92</v>
      </c>
      <c r="D30" s="17">
        <v>225000</v>
      </c>
      <c r="E30" s="22">
        <f>IF($D30="","",$D30*INDEX(Допущения!$C$25:$G$30,MATCH($C30,Допущения!$B$25:$B$30,0),1))</f>
        <v>225000</v>
      </c>
      <c r="F30" s="22">
        <f>IF($D30="","",$D30*INDEX(Допущения!$C$25:$G$30,MATCH($C30,Допущения!$B$25:$B$30,0),2))</f>
        <v>900000</v>
      </c>
      <c r="G30" s="22">
        <f>IF($D30="","",$D30*INDEX(Допущения!$C$25:$G$30,MATCH($C30,Допущения!$B$25:$B$30,0),3))</f>
        <v>2250000</v>
      </c>
      <c r="H30" s="22">
        <f>IF($D30="","",$D30*INDEX(Допущения!$C$25:$G$30,MATCH($C30,Допущения!$B$25:$B$30,0),4))</f>
        <v>3600000</v>
      </c>
      <c r="I30" s="22">
        <f>IF($D30="","",$D30*INDEX(Допущения!$C$25:$G$30,MATCH($C30,Допущения!$B$25:$B$30,0),5))</f>
        <v>4800000</v>
      </c>
      <c r="J30" s="22">
        <f>SUM(E30:I30)</f>
        <v>11775000</v>
      </c>
      <c r="K30" s="23"/>
      <c r="L30" s="24" t="s">
        <v>163</v>
      </c>
    </row>
    <row r="31" spans="2:12" ht="15.75" customHeight="1" x14ac:dyDescent="0.25">
      <c r="B31" s="10" t="s">
        <v>164</v>
      </c>
      <c r="C31" s="16" t="s">
        <v>92</v>
      </c>
      <c r="D31" s="17">
        <v>10500</v>
      </c>
      <c r="E31" s="22">
        <f>IF($D31="","",$D31*INDEX(Допущения!$C$25:$G$30,MATCH($C31,Допущения!$B$25:$B$30,0),1))</f>
        <v>10500</v>
      </c>
      <c r="F31" s="22">
        <f>IF($D31="","",$D31*INDEX(Допущения!$C$25:$G$30,MATCH($C31,Допущения!$B$25:$B$30,0),2))</f>
        <v>42000</v>
      </c>
      <c r="G31" s="22">
        <f>IF($D31="","",$D31*INDEX(Допущения!$C$25:$G$30,MATCH($C31,Допущения!$B$25:$B$30,0),3))</f>
        <v>105000</v>
      </c>
      <c r="H31" s="22">
        <f>IF($D31="","",$D31*INDEX(Допущения!$C$25:$G$30,MATCH($C31,Допущения!$B$25:$B$30,0),4))</f>
        <v>168000</v>
      </c>
      <c r="I31" s="22">
        <f>IF($D31="","",$D31*INDEX(Допущения!$C$25:$G$30,MATCH($C31,Допущения!$B$25:$B$30,0),5))</f>
        <v>224000</v>
      </c>
      <c r="J31" s="22">
        <f>SUM(E31:I31)</f>
        <v>549500</v>
      </c>
      <c r="K31" s="23"/>
      <c r="L31" s="24" t="s">
        <v>165</v>
      </c>
    </row>
    <row r="32" spans="2:12" ht="15.75" customHeight="1" x14ac:dyDescent="0.25">
      <c r="B32" s="25" t="s">
        <v>141</v>
      </c>
      <c r="C32" s="26"/>
      <c r="D32" s="26"/>
      <c r="E32" s="27">
        <f t="shared" ref="E32:J32" si="4">SUM(E27:E31)</f>
        <v>876000</v>
      </c>
      <c r="F32" s="27">
        <f t="shared" si="4"/>
        <v>3612000</v>
      </c>
      <c r="G32" s="27">
        <f t="shared" si="4"/>
        <v>9300000</v>
      </c>
      <c r="H32" s="27">
        <f t="shared" si="4"/>
        <v>15312000.000000002</v>
      </c>
      <c r="I32" s="27">
        <f t="shared" si="4"/>
        <v>20992000</v>
      </c>
      <c r="J32" s="27">
        <f t="shared" si="4"/>
        <v>50092000</v>
      </c>
      <c r="K32" s="28">
        <f>IFERROR(J32/$J$51,0)</f>
        <v>0.56056554589855956</v>
      </c>
      <c r="L32" s="26"/>
    </row>
    <row r="33" spans="2:18" ht="15.75" customHeight="1" x14ac:dyDescent="0.25">
      <c r="C33" s="29"/>
    </row>
    <row r="34" spans="2:18" ht="15.75" customHeight="1" x14ac:dyDescent="0.25">
      <c r="B34" s="7" t="s">
        <v>166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8" ht="15.75" customHeight="1" x14ac:dyDescent="0.25">
      <c r="B35" s="10" t="s">
        <v>167</v>
      </c>
      <c r="C35" s="16" t="s">
        <v>88</v>
      </c>
      <c r="D35" s="17">
        <f>N35*Допущения!$C$42</f>
        <v>1020000</v>
      </c>
      <c r="E35" s="22">
        <f>N35*Допущения!$C$42*Допущения!C$27</f>
        <v>1020000</v>
      </c>
      <c r="F35" s="22">
        <f>O35*Допущения!$C$42*Допущения!D$27</f>
        <v>1496000.0000000002</v>
      </c>
      <c r="G35" s="22">
        <f>P35*Допущения!$C$42*Допущения!E$27</f>
        <v>2262700.0000000005</v>
      </c>
      <c r="H35" s="22">
        <f>Q35*Допущения!$C$42*Допущения!F$27</f>
        <v>2941510.0000000009</v>
      </c>
      <c r="I35" s="22">
        <f>R35*Допущения!$C$42*Допущения!G$27</f>
        <v>3733455.0000000014</v>
      </c>
      <c r="J35" s="22">
        <f>SUM(E35:I35)</f>
        <v>11453665.000000002</v>
      </c>
      <c r="K35" s="23"/>
      <c r="L35" s="24" t="s">
        <v>168</v>
      </c>
      <c r="N35" s="43">
        <v>12</v>
      </c>
      <c r="O35" s="43">
        <v>16</v>
      </c>
      <c r="P35" s="43">
        <v>22</v>
      </c>
      <c r="Q35" s="43">
        <v>26</v>
      </c>
      <c r="R35" s="43">
        <v>30</v>
      </c>
    </row>
    <row r="36" spans="2:18" ht="15.75" customHeight="1" x14ac:dyDescent="0.25">
      <c r="B36" s="10" t="s">
        <v>169</v>
      </c>
      <c r="C36" s="16" t="s">
        <v>88</v>
      </c>
      <c r="D36" s="17">
        <f>N36*Допущения!$C$43</f>
        <v>500000</v>
      </c>
      <c r="E36" s="22">
        <f>N36*Допущения!$C$43*Допущения!C$27</f>
        <v>500000</v>
      </c>
      <c r="F36" s="22">
        <f>O36*Допущения!$C$43*Допущения!D$27</f>
        <v>660000</v>
      </c>
      <c r="G36" s="22">
        <f>P36*Допущения!$C$43*Допущения!E$27</f>
        <v>847000.00000000012</v>
      </c>
      <c r="H36" s="22">
        <f>Q36*Допущения!$C$43*Допущения!F$27</f>
        <v>1064800.0000000002</v>
      </c>
      <c r="I36" s="22">
        <f>R36*Допущения!$C$43*Допущения!G$27</f>
        <v>1171280.0000000005</v>
      </c>
      <c r="J36" s="22">
        <f>SUM(E36:I36)</f>
        <v>4243080</v>
      </c>
      <c r="K36" s="23"/>
      <c r="L36" s="24" t="s">
        <v>170</v>
      </c>
      <c r="N36" s="43">
        <v>5</v>
      </c>
      <c r="O36" s="43">
        <v>6</v>
      </c>
      <c r="P36" s="43">
        <v>7</v>
      </c>
      <c r="Q36" s="43">
        <v>8</v>
      </c>
      <c r="R36" s="43">
        <v>8</v>
      </c>
    </row>
    <row r="37" spans="2:18" ht="15.75" customHeight="1" x14ac:dyDescent="0.25">
      <c r="B37" s="10" t="s">
        <v>171</v>
      </c>
      <c r="C37" s="16" t="s">
        <v>88</v>
      </c>
      <c r="D37" s="17">
        <v>120000</v>
      </c>
      <c r="E37" s="42">
        <v>120000</v>
      </c>
      <c r="F37" s="42">
        <v>150000</v>
      </c>
      <c r="G37" s="42">
        <v>180000</v>
      </c>
      <c r="H37" s="42">
        <v>200000</v>
      </c>
      <c r="I37" s="42">
        <v>220000</v>
      </c>
      <c r="J37" s="22">
        <f>SUM(E37:I37)</f>
        <v>870000</v>
      </c>
      <c r="K37" s="23"/>
      <c r="L37" s="24" t="s">
        <v>259</v>
      </c>
    </row>
    <row r="38" spans="2:18" ht="15.75" customHeight="1" x14ac:dyDescent="0.25">
      <c r="B38" s="10" t="s">
        <v>173</v>
      </c>
      <c r="C38" s="16" t="s">
        <v>88</v>
      </c>
      <c r="D38" s="17">
        <v>420000</v>
      </c>
      <c r="E38" s="22">
        <f>IF($D38="","",$D38*INDEX(Допущения!$C$25:$G$30,MATCH($C38,Допущения!$B$25:$B$30,0),1))</f>
        <v>420000</v>
      </c>
      <c r="F38" s="22">
        <f>IF($D38="","",$D38*INDEX(Допущения!$C$25:$G$30,MATCH($C38,Допущения!$B$25:$B$30,0),2))</f>
        <v>462000.00000000006</v>
      </c>
      <c r="G38" s="22">
        <f>IF($D38="","",$D38*INDEX(Допущения!$C$25:$G$30,MATCH($C38,Допущения!$B$25:$B$30,0),3))</f>
        <v>508200.00000000006</v>
      </c>
      <c r="H38" s="22">
        <f>IF($D38="","",$D38*INDEX(Допущения!$C$25:$G$30,MATCH($C38,Допущения!$B$25:$B$30,0),4))</f>
        <v>559020.00000000012</v>
      </c>
      <c r="I38" s="22">
        <f>IF($D38="","",$D38*INDEX(Допущения!$C$25:$G$30,MATCH($C38,Допущения!$B$25:$B$30,0),5))</f>
        <v>614922.00000000023</v>
      </c>
      <c r="J38" s="22">
        <f>SUM(E38:I38)</f>
        <v>2564142</v>
      </c>
      <c r="K38" s="23"/>
      <c r="L38" s="24" t="s">
        <v>260</v>
      </c>
    </row>
    <row r="39" spans="2:18" ht="15.75" customHeight="1" x14ac:dyDescent="0.25">
      <c r="B39" s="10"/>
      <c r="C39" s="16" t="s">
        <v>84</v>
      </c>
      <c r="D39" s="17"/>
      <c r="E39" s="22" t="str">
        <f>IF($D39="","",$D39*INDEX(Допущения!$C$25:$G$30,MATCH($C39,Допущения!$B$25:$B$30,0),1))</f>
        <v/>
      </c>
      <c r="F39" s="22" t="str">
        <f>IF($D39="","",$D39*INDEX(Допущения!$C$25:$G$30,MATCH($C39,Допущения!$B$25:$B$30,0),2))</f>
        <v/>
      </c>
      <c r="G39" s="22" t="str">
        <f>IF($D39="","",$D39*INDEX(Допущения!$C$25:$G$30,MATCH($C39,Допущения!$B$25:$B$30,0),3))</f>
        <v/>
      </c>
      <c r="H39" s="22" t="str">
        <f>IF($D39="","",$D39*INDEX(Допущения!$C$25:$G$30,MATCH($C39,Допущения!$B$25:$B$30,0),4))</f>
        <v/>
      </c>
      <c r="I39" s="22" t="str">
        <f>IF($D39="","",$D39*INDEX(Допущения!$C$25:$G$30,MATCH($C39,Допущения!$B$25:$B$30,0),5))</f>
        <v/>
      </c>
      <c r="J39" s="22">
        <f>SUM(E39:I39)</f>
        <v>0</v>
      </c>
      <c r="K39" s="23"/>
      <c r="L39" s="24" t="s">
        <v>175</v>
      </c>
    </row>
    <row r="40" spans="2:18" ht="15.75" customHeight="1" x14ac:dyDescent="0.25">
      <c r="B40" s="25" t="s">
        <v>141</v>
      </c>
      <c r="C40" s="26"/>
      <c r="D40" s="26"/>
      <c r="E40" s="27">
        <f t="shared" ref="E40:J40" si="5">SUM(E35:E39)</f>
        <v>2060000</v>
      </c>
      <c r="F40" s="27">
        <f t="shared" si="5"/>
        <v>2768000</v>
      </c>
      <c r="G40" s="27">
        <f t="shared" si="5"/>
        <v>3797900.0000000005</v>
      </c>
      <c r="H40" s="27">
        <f t="shared" si="5"/>
        <v>4765330.0000000009</v>
      </c>
      <c r="I40" s="27">
        <f t="shared" si="5"/>
        <v>5739657.0000000019</v>
      </c>
      <c r="J40" s="27">
        <f t="shared" si="5"/>
        <v>19130887</v>
      </c>
      <c r="K40" s="28">
        <f>IFERROR(J40/$J$51,0)</f>
        <v>0.21408839963823878</v>
      </c>
      <c r="L40" s="26"/>
    </row>
    <row r="41" spans="2:18" ht="15.75" customHeight="1" x14ac:dyDescent="0.25">
      <c r="C41" s="29"/>
    </row>
    <row r="42" spans="2:18" ht="15.75" customHeight="1" x14ac:dyDescent="0.25">
      <c r="B42" s="7" t="s">
        <v>176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2:18" ht="15.75" customHeight="1" x14ac:dyDescent="0.25">
      <c r="B43" s="10" t="s">
        <v>177</v>
      </c>
      <c r="C43" s="16" t="s">
        <v>84</v>
      </c>
      <c r="D43" s="17">
        <v>30000</v>
      </c>
      <c r="E43" s="42">
        <v>30000</v>
      </c>
      <c r="F43" s="42">
        <v>15000</v>
      </c>
      <c r="G43" s="42">
        <v>15750</v>
      </c>
      <c r="H43" s="42">
        <v>16538</v>
      </c>
      <c r="I43" s="42">
        <v>17364</v>
      </c>
      <c r="J43" s="22">
        <f>SUM(E43:I43)</f>
        <v>94652</v>
      </c>
      <c r="K43" s="23"/>
      <c r="L43" s="24" t="s">
        <v>239</v>
      </c>
    </row>
    <row r="44" spans="2:18" ht="15.75" customHeight="1" x14ac:dyDescent="0.25">
      <c r="B44" s="10" t="s">
        <v>179</v>
      </c>
      <c r="C44" s="16" t="s">
        <v>86</v>
      </c>
      <c r="D44" s="17">
        <v>30000</v>
      </c>
      <c r="E44" s="22">
        <f>IF($D44="","",$D44*INDEX(Допущения!$C$25:$G$30,MATCH($C44,Допущения!$B$25:$B$30,0),1))</f>
        <v>30000</v>
      </c>
      <c r="F44" s="22">
        <f>IF($D44="","",$D44*INDEX(Допущения!$C$25:$G$30,MATCH($C44,Допущения!$B$25:$B$30,0),2))</f>
        <v>31500</v>
      </c>
      <c r="G44" s="22">
        <f>IF($D44="","",$D44*INDEX(Допущения!$C$25:$G$30,MATCH($C44,Допущения!$B$25:$B$30,0),3))</f>
        <v>33075</v>
      </c>
      <c r="H44" s="22">
        <f>IF($D44="","",$D44*INDEX(Допущения!$C$25:$G$30,MATCH($C44,Допущения!$B$25:$B$30,0),4))</f>
        <v>34728.750000000007</v>
      </c>
      <c r="I44" s="22">
        <f>IF($D44="","",$D44*INDEX(Допущения!$C$25:$G$30,MATCH($C44,Допущения!$B$25:$B$30,0),5))</f>
        <v>36465.187500000007</v>
      </c>
      <c r="J44" s="22">
        <f>SUM(E44:I44)</f>
        <v>165768.9375</v>
      </c>
      <c r="K44" s="23"/>
      <c r="L44" s="24" t="s">
        <v>261</v>
      </c>
    </row>
    <row r="45" spans="2:18" ht="15.75" customHeight="1" x14ac:dyDescent="0.25">
      <c r="B45" s="10" t="s">
        <v>181</v>
      </c>
      <c r="C45" s="16" t="s">
        <v>84</v>
      </c>
      <c r="D45" s="17">
        <v>40000</v>
      </c>
      <c r="E45" s="42">
        <v>40000</v>
      </c>
      <c r="F45" s="42">
        <v>0</v>
      </c>
      <c r="G45" s="42">
        <v>0</v>
      </c>
      <c r="H45" s="42">
        <v>0</v>
      </c>
      <c r="I45" s="42">
        <v>0</v>
      </c>
      <c r="J45" s="22">
        <f>SUM(E45:I45)</f>
        <v>40000</v>
      </c>
      <c r="K45" s="23"/>
      <c r="L45" s="24" t="s">
        <v>262</v>
      </c>
    </row>
    <row r="46" spans="2:18" ht="15.75" customHeight="1" x14ac:dyDescent="0.25">
      <c r="B46" s="10" t="s">
        <v>183</v>
      </c>
      <c r="C46" s="16" t="s">
        <v>84</v>
      </c>
      <c r="D46" s="17">
        <v>60000</v>
      </c>
      <c r="E46" s="42">
        <v>60000</v>
      </c>
      <c r="F46" s="42">
        <v>30000</v>
      </c>
      <c r="G46" s="42">
        <v>30000</v>
      </c>
      <c r="H46" s="42">
        <v>30000</v>
      </c>
      <c r="I46" s="42">
        <v>30000</v>
      </c>
      <c r="J46" s="22">
        <f>SUM(E46:I46)</f>
        <v>180000</v>
      </c>
      <c r="K46" s="23"/>
      <c r="L46" s="24" t="s">
        <v>263</v>
      </c>
    </row>
    <row r="47" spans="2:18" ht="15.75" customHeight="1" x14ac:dyDescent="0.25">
      <c r="B47" s="10" t="s">
        <v>264</v>
      </c>
      <c r="C47" s="16" t="s">
        <v>84</v>
      </c>
      <c r="D47" s="17">
        <v>460000</v>
      </c>
      <c r="E47" s="42">
        <v>460000</v>
      </c>
      <c r="F47" s="42">
        <v>0</v>
      </c>
      <c r="G47" s="42">
        <v>0</v>
      </c>
      <c r="H47" s="42">
        <v>40000</v>
      </c>
      <c r="I47" s="42">
        <v>0</v>
      </c>
      <c r="J47" s="22">
        <f>SUM(E47:I47)</f>
        <v>500000</v>
      </c>
      <c r="K47" s="23"/>
      <c r="L47" s="24" t="s">
        <v>265</v>
      </c>
    </row>
    <row r="48" spans="2:18" ht="15.75" customHeight="1" x14ac:dyDescent="0.25">
      <c r="B48" s="25" t="s">
        <v>141</v>
      </c>
      <c r="C48" s="26"/>
      <c r="D48" s="26"/>
      <c r="E48" s="27">
        <f t="shared" ref="E48:J48" si="6">SUM(E43:E47)</f>
        <v>620000</v>
      </c>
      <c r="F48" s="27">
        <f t="shared" si="6"/>
        <v>76500</v>
      </c>
      <c r="G48" s="27">
        <f t="shared" si="6"/>
        <v>78825</v>
      </c>
      <c r="H48" s="27">
        <f t="shared" si="6"/>
        <v>121266.75</v>
      </c>
      <c r="I48" s="27">
        <f t="shared" si="6"/>
        <v>83829.1875</v>
      </c>
      <c r="J48" s="27">
        <f t="shared" si="6"/>
        <v>980420.9375</v>
      </c>
      <c r="K48" s="28">
        <f>IFERROR(J48/$J$51,0)</f>
        <v>1.097161618701719E-2</v>
      </c>
      <c r="L48" s="26"/>
    </row>
    <row r="49" spans="2:12" ht="15.75" customHeight="1" x14ac:dyDescent="0.25">
      <c r="C49" s="29"/>
    </row>
    <row r="50" spans="2:12" ht="15.75" customHeight="1" x14ac:dyDescent="0.25">
      <c r="B50" s="14" t="s">
        <v>185</v>
      </c>
      <c r="C50" s="29"/>
      <c r="E50" s="30">
        <f>(E15+E24+E32+E40+E48)*Допущения!$C$17</f>
        <v>592590</v>
      </c>
      <c r="F50" s="30">
        <f>(F15+F24+F32+F40+F48)*Допущения!$C$17</f>
        <v>1091611.5</v>
      </c>
      <c r="G50" s="30">
        <f>(G15+G24+G32+G40+G48)*Допущения!$C$17</f>
        <v>2205694.5749999997</v>
      </c>
      <c r="H50" s="30">
        <f>(H15+H24+H32+H40+H48)*Допущения!$C$17</f>
        <v>3344039.6287500001</v>
      </c>
      <c r="I50" s="30">
        <f>(I15+I24+I32+I40+I48)*Допущения!$C$17</f>
        <v>4421684.5501874993</v>
      </c>
      <c r="J50" s="22">
        <f>SUM(E50:I50)</f>
        <v>11655620.253937498</v>
      </c>
      <c r="L50" s="6" t="s">
        <v>186</v>
      </c>
    </row>
    <row r="51" spans="2:12" ht="15.75" customHeight="1" x14ac:dyDescent="0.25">
      <c r="B51" s="25" t="s">
        <v>187</v>
      </c>
      <c r="C51" s="29"/>
      <c r="E51" s="27">
        <f>E15+E24+E32+E40+E48+E50</f>
        <v>4543190</v>
      </c>
      <c r="F51" s="27">
        <f>F15+F24+F32+F40+F48+F50</f>
        <v>8369021.5</v>
      </c>
      <c r="G51" s="27">
        <f>G15+G24+G32+G40+G48+G50</f>
        <v>16910325.074999999</v>
      </c>
      <c r="H51" s="27">
        <f>H15+H24+H32+H40+H48+H50</f>
        <v>25637637.153750002</v>
      </c>
      <c r="I51" s="27">
        <f>I15+I24+I32+I40+I48+I50</f>
        <v>33899581.551437497</v>
      </c>
      <c r="J51" s="27">
        <f>SUM(E51:I51)</f>
        <v>89359755.280187503</v>
      </c>
    </row>
    <row r="52" spans="2:12" ht="15.75" customHeight="1" x14ac:dyDescent="0.25">
      <c r="B52" s="7" t="s">
        <v>188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2:12" ht="15.75" customHeight="1" x14ac:dyDescent="0.25">
      <c r="B53" s="10" t="s">
        <v>189</v>
      </c>
      <c r="E53" s="30">
        <f>(1-Допущения!C41)*525600*Допущения!C38*Допущения!$C$21</f>
        <v>9899.9999999989086</v>
      </c>
      <c r="F53" s="30">
        <f>(1-Допущения!D41)*525600*Допущения!D38*Допущения!$C$21</f>
        <v>41399.999999995438</v>
      </c>
      <c r="G53" s="30">
        <f>(1-Допущения!E41)*525600*Допущения!E38*Допущения!$C$21</f>
        <v>107999.9999999881</v>
      </c>
      <c r="H53" s="30">
        <f>(1-Допущения!F41)*525600*Допущения!F38*Допущения!$C$21</f>
        <v>179999.99999998015</v>
      </c>
      <c r="I53" s="30">
        <f>(1-Допущения!G41)*525600*Допущения!G38*Допущения!$C$21</f>
        <v>249599.99999997253</v>
      </c>
      <c r="J53" s="22">
        <f>SUM(E53:I53)</f>
        <v>588899.99999993516</v>
      </c>
      <c r="L53" s="12" t="s">
        <v>190</v>
      </c>
    </row>
    <row r="54" spans="2:12" ht="15.75" customHeight="1" x14ac:dyDescent="0.25">
      <c r="B54" s="25" t="s">
        <v>191</v>
      </c>
      <c r="E54" s="27">
        <f>E51+E53</f>
        <v>4553089.9999999991</v>
      </c>
      <c r="F54" s="27">
        <f>F51+F53</f>
        <v>8410421.4999999963</v>
      </c>
      <c r="G54" s="27">
        <f>G51+G53</f>
        <v>17018325.074999988</v>
      </c>
      <c r="H54" s="27">
        <f>H51+H53</f>
        <v>25817637.153749984</v>
      </c>
      <c r="I54" s="27">
        <f>I51+I53</f>
        <v>34149181.551437467</v>
      </c>
      <c r="J54" s="27">
        <f>SUM(E54:I54)</f>
        <v>89948655.280187428</v>
      </c>
    </row>
    <row r="55" spans="2:12" ht="15.75" customHeight="1" x14ac:dyDescent="0.25">
      <c r="B55" s="10" t="s">
        <v>192</v>
      </c>
      <c r="E55" s="31">
        <f>1/(1+Допущения!$C$16)^0</f>
        <v>1</v>
      </c>
      <c r="F55" s="31">
        <f>1/(1+Допущения!$C$16)^1</f>
        <v>0.8</v>
      </c>
      <c r="G55" s="31">
        <f>1/(1+Допущения!$C$16)^2</f>
        <v>0.64</v>
      </c>
      <c r="H55" s="31">
        <f>1/(1+Допущения!$C$16)^3</f>
        <v>0.51200000000000001</v>
      </c>
      <c r="I55" s="31">
        <f>1/(1+Допущения!$C$16)^4</f>
        <v>0.40960000000000002</v>
      </c>
    </row>
    <row r="56" spans="2:12" ht="15.75" customHeight="1" x14ac:dyDescent="0.25">
      <c r="B56" s="25" t="s">
        <v>193</v>
      </c>
      <c r="E56" s="27">
        <f>E54*E55</f>
        <v>4553089.9999999991</v>
      </c>
      <c r="F56" s="27">
        <f>F54*F55</f>
        <v>6728337.1999999974</v>
      </c>
      <c r="G56" s="27">
        <f>G54*G55</f>
        <v>10891728.047999993</v>
      </c>
      <c r="H56" s="27">
        <f>H54*H55</f>
        <v>13218630.222719992</v>
      </c>
      <c r="I56" s="27">
        <f>I54*I55</f>
        <v>13987504.763468787</v>
      </c>
      <c r="J56" s="27">
        <f>SUM(E56:I56)</f>
        <v>49379290.234188765</v>
      </c>
    </row>
    <row r="57" spans="2:12" ht="15.75" customHeight="1" x14ac:dyDescent="0.25"/>
    <row r="58" spans="2:12" ht="15.75" customHeight="1" x14ac:dyDescent="0.25">
      <c r="B58" s="7" t="s">
        <v>194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2:12" ht="15.75" customHeight="1" x14ac:dyDescent="0.25">
      <c r="B59" s="14" t="s">
        <v>195</v>
      </c>
      <c r="E59" s="51">
        <f>J51</f>
        <v>89359755.280187503</v>
      </c>
      <c r="F59" s="52"/>
      <c r="L59" s="12" t="s">
        <v>196</v>
      </c>
    </row>
    <row r="60" spans="2:12" ht="15.75" customHeight="1" x14ac:dyDescent="0.25">
      <c r="B60" s="14" t="s">
        <v>197</v>
      </c>
      <c r="E60" s="51">
        <f>J54</f>
        <v>89948655.280187428</v>
      </c>
      <c r="F60" s="52"/>
      <c r="L60" s="12" t="s">
        <v>198</v>
      </c>
    </row>
    <row r="61" spans="2:12" ht="15.75" customHeight="1" x14ac:dyDescent="0.25">
      <c r="B61" s="14" t="s">
        <v>199</v>
      </c>
      <c r="E61" s="51">
        <f>J56</f>
        <v>49379290.234188765</v>
      </c>
      <c r="F61" s="52"/>
      <c r="L61" s="12" t="s">
        <v>200</v>
      </c>
    </row>
    <row r="62" spans="2:12" ht="15.75" customHeight="1" x14ac:dyDescent="0.25">
      <c r="B62" s="14" t="s">
        <v>201</v>
      </c>
      <c r="E62" s="51">
        <f>J51/5</f>
        <v>17871951.056037501</v>
      </c>
      <c r="F62" s="52"/>
      <c r="L62" s="12" t="s">
        <v>202</v>
      </c>
    </row>
    <row r="63" spans="2:12" ht="15.75" customHeight="1" x14ac:dyDescent="0.25">
      <c r="B63" s="14" t="s">
        <v>203</v>
      </c>
      <c r="E63" s="51">
        <f>(E15+E24)/12</f>
        <v>32883.333333333336</v>
      </c>
      <c r="F63" s="52"/>
      <c r="L63" s="12" t="s">
        <v>204</v>
      </c>
    </row>
    <row r="64" spans="2:12" ht="15.75" customHeight="1" x14ac:dyDescent="0.25">
      <c r="B64" s="14" t="s">
        <v>205</v>
      </c>
      <c r="E64" s="65" t="str">
        <f>IF((E15+E24)/12&lt;=Допущения!$C$18,"В бюджете CFO","ПРЕВЫШЕНИЕ бюджета")</f>
        <v>ПРЕВЫШЕНИЕ бюджета</v>
      </c>
      <c r="F64" s="52"/>
      <c r="L64" s="12" t="s">
        <v>206</v>
      </c>
    </row>
    <row r="65" spans="2:12" ht="15.75" customHeight="1" x14ac:dyDescent="0.25">
      <c r="B65" s="14" t="s">
        <v>207</v>
      </c>
      <c r="E65" s="64">
        <f>IFERROR(J51/SUM(Допущения!$C$8:$G$8),0)</f>
        <v>1.1383408315947452</v>
      </c>
      <c r="F65" s="52"/>
      <c r="L65" s="12" t="s">
        <v>208</v>
      </c>
    </row>
    <row r="66" spans="2:12" ht="15.75" customHeight="1" x14ac:dyDescent="0.25">
      <c r="B66" s="14" t="s">
        <v>209</v>
      </c>
      <c r="E66" s="64">
        <f>IFERROR(I51/Допущения!$G$7,0)</f>
        <v>3.7666201723819439</v>
      </c>
      <c r="F66" s="52"/>
      <c r="L66" s="12" t="s">
        <v>210</v>
      </c>
    </row>
    <row r="67" spans="2:12" ht="15.75" customHeight="1" x14ac:dyDescent="0.25">
      <c r="B67" s="14" t="s">
        <v>211</v>
      </c>
      <c r="E67" s="63">
        <f>IFERROR(J51/SUM(Допущения!$C$10:$G$10),0)</f>
        <v>4.5522035293014518E-2</v>
      </c>
      <c r="F67" s="52"/>
      <c r="L67" s="12" t="s">
        <v>212</v>
      </c>
    </row>
    <row r="68" spans="2:12" ht="15.75" customHeight="1" x14ac:dyDescent="0.25">
      <c r="B68" s="14" t="s">
        <v>213</v>
      </c>
      <c r="E68" s="61">
        <f>IFERROR(J15/J51,0)</f>
        <v>7.573000987728086E-2</v>
      </c>
      <c r="F68" s="52"/>
      <c r="L68" s="12" t="s">
        <v>214</v>
      </c>
    </row>
    <row r="69" spans="2:12" ht="15.75" customHeight="1" x14ac:dyDescent="0.25">
      <c r="B69" s="14" t="s">
        <v>215</v>
      </c>
      <c r="E69" s="61">
        <f>IFERROR(J32/J51,0)</f>
        <v>0.56056554589855956</v>
      </c>
      <c r="F69" s="52"/>
      <c r="L69" s="12" t="s">
        <v>216</v>
      </c>
    </row>
    <row r="70" spans="2:12" ht="15.75" customHeight="1" x14ac:dyDescent="0.25">
      <c r="B70" s="14" t="s">
        <v>217</v>
      </c>
      <c r="E70" s="61">
        <f>IFERROR(J40/J51,0)</f>
        <v>0.21408839963823878</v>
      </c>
      <c r="F70" s="52"/>
      <c r="L70" s="12" t="s">
        <v>218</v>
      </c>
    </row>
    <row r="71" spans="2:12" ht="15.75" customHeight="1" x14ac:dyDescent="0.25"/>
    <row r="72" spans="2:12" ht="15.75" customHeight="1" x14ac:dyDescent="0.25">
      <c r="B72" s="62" t="s">
        <v>219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</row>
    <row r="73" spans="2:12" ht="15" customHeight="1" x14ac:dyDescent="0.25">
      <c r="B73" s="53" t="s">
        <v>266</v>
      </c>
      <c r="C73" s="54"/>
      <c r="D73" s="54"/>
      <c r="E73" s="54"/>
      <c r="F73" s="54"/>
      <c r="G73" s="54"/>
      <c r="H73" s="54"/>
      <c r="I73" s="54"/>
      <c r="J73" s="54"/>
      <c r="K73" s="54"/>
      <c r="L73" s="55"/>
    </row>
    <row r="74" spans="2:12" ht="15.75" customHeight="1" x14ac:dyDescent="0.25">
      <c r="B74" s="56"/>
      <c r="C74" s="49"/>
      <c r="D74" s="49"/>
      <c r="E74" s="49"/>
      <c r="F74" s="49"/>
      <c r="G74" s="49"/>
      <c r="H74" s="49"/>
      <c r="I74" s="49"/>
      <c r="J74" s="49"/>
      <c r="K74" s="49"/>
      <c r="L74" s="57"/>
    </row>
    <row r="75" spans="2:12" ht="15.75" customHeight="1" x14ac:dyDescent="0.25">
      <c r="B75" s="58"/>
      <c r="C75" s="59"/>
      <c r="D75" s="59"/>
      <c r="E75" s="59"/>
      <c r="F75" s="59"/>
      <c r="G75" s="59"/>
      <c r="H75" s="59"/>
      <c r="I75" s="59"/>
      <c r="J75" s="59"/>
      <c r="K75" s="59"/>
      <c r="L75" s="60"/>
    </row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9:F69"/>
    <mergeCell ref="E66:F66"/>
    <mergeCell ref="E61:F61"/>
    <mergeCell ref="E60:F60"/>
    <mergeCell ref="E70:F70"/>
    <mergeCell ref="E64:F64"/>
    <mergeCell ref="E65:F65"/>
  </mergeCells>
  <dataValidations count="1">
    <dataValidation type="list" allowBlank="1" sqref="C6:C51" xr:uid="{00000000-0002-0000-0400-000000000000}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39"/>
  <sheetViews>
    <sheetView workbookViewId="0"/>
  </sheetViews>
  <sheetFormatPr defaultRowHeight="15" x14ac:dyDescent="0.25"/>
  <cols>
    <col min="2" max="2" width="62" style="32" customWidth="1"/>
    <col min="3" max="5" width="22" style="32" customWidth="1"/>
    <col min="6" max="6" width="70" style="32" customWidth="1"/>
  </cols>
  <sheetData>
    <row r="2" spans="2:6" x14ac:dyDescent="0.25">
      <c r="B2" s="34" t="s">
        <v>267</v>
      </c>
    </row>
    <row r="4" spans="2:6" x14ac:dyDescent="0.25">
      <c r="B4" s="33" t="s">
        <v>268</v>
      </c>
      <c r="C4" s="33" t="s">
        <v>269</v>
      </c>
      <c r="D4" s="33" t="s">
        <v>270</v>
      </c>
      <c r="E4" s="33" t="s">
        <v>271</v>
      </c>
      <c r="F4" s="33" t="s">
        <v>272</v>
      </c>
    </row>
    <row r="5" spans="2:6" x14ac:dyDescent="0.25">
      <c r="B5" t="s">
        <v>273</v>
      </c>
      <c r="C5" s="37">
        <f>'TCO A — модульный монолит'!J51</f>
        <v>73243019.159125</v>
      </c>
      <c r="D5" s="37">
        <f>'TCO B — сервисы (SOA)'!J51</f>
        <v>76850568.484937504</v>
      </c>
      <c r="E5" s="37">
        <f>'TCO C — микросервисы CTO'!J51</f>
        <v>89359755.280187503</v>
      </c>
      <c r="F5" t="s">
        <v>274</v>
      </c>
    </row>
    <row r="6" spans="2:6" x14ac:dyDescent="0.25">
      <c r="B6" t="s">
        <v>275</v>
      </c>
      <c r="C6" s="37">
        <f>'TCO A — модульный монолит'!J15+'TCO A — модульный монолит'!J24+'TCO A — модульный монолит'!J40+'TCO A — модульный монолит'!J48</f>
        <v>13597581.877500001</v>
      </c>
      <c r="D6" s="37">
        <f>'TCO B — сервисы (SOA)'!J15+'TCO B — сервисы (SOA)'!J24+'TCO B — сервисы (SOA)'!J40+'TCO B — сервисы (SOA)'!J48</f>
        <v>16734581.291250002</v>
      </c>
      <c r="E6" s="37">
        <f>'TCO C — микросервисы CTO'!J15+'TCO C — микросервисы CTO'!J24+'TCO C — микросервисы CTO'!J40+'TCO C — микросервисы CTO'!J48</f>
        <v>27612135.026250001</v>
      </c>
      <c r="F6" t="s">
        <v>276</v>
      </c>
    </row>
    <row r="7" spans="2:6" x14ac:dyDescent="0.25">
      <c r="B7" t="s">
        <v>277</v>
      </c>
      <c r="C7" s="37">
        <f>'TCO A — модульный монолит'!J54</f>
        <v>74518619.159124866</v>
      </c>
      <c r="D7" s="37">
        <f>'TCO B — сервисы (SOA)'!J54</f>
        <v>78076668.48493737</v>
      </c>
      <c r="E7" s="37">
        <f>'TCO C — микросервисы CTO'!J54</f>
        <v>89948655.280187428</v>
      </c>
      <c r="F7" t="s">
        <v>278</v>
      </c>
    </row>
    <row r="8" spans="2:6" x14ac:dyDescent="0.25">
      <c r="B8" t="s">
        <v>279</v>
      </c>
      <c r="C8" s="37">
        <f>'TCO A — модульный монолит'!J56</f>
        <v>39857574.576985523</v>
      </c>
      <c r="D8" s="37">
        <f>'TCO B — сервисы (SOA)'!J56</f>
        <v>42020725.595622323</v>
      </c>
      <c r="E8" s="37">
        <f>'TCO C — микросервисы CTO'!J56</f>
        <v>49379290.234188765</v>
      </c>
      <c r="F8" t="s">
        <v>280</v>
      </c>
    </row>
    <row r="9" spans="2:6" x14ac:dyDescent="0.25">
      <c r="B9" t="s">
        <v>281</v>
      </c>
      <c r="C9" s="37">
        <f>'TCO A — модульный монолит'!E63</f>
        <v>4338.333333333333</v>
      </c>
      <c r="D9" s="37">
        <f>'TCO B — сервисы (SOA)'!E63</f>
        <v>8506.6666666666661</v>
      </c>
      <c r="E9" s="37">
        <f>'TCO C — микросервисы CTO'!E63</f>
        <v>32883.333333333336</v>
      </c>
      <c r="F9" t="s">
        <v>282</v>
      </c>
    </row>
    <row r="10" spans="2:6" x14ac:dyDescent="0.25">
      <c r="B10" t="s">
        <v>283</v>
      </c>
      <c r="C10" t="str">
        <f>'TCO A — модульный монолит'!E64</f>
        <v>В бюджете CFO</v>
      </c>
      <c r="D10" t="str">
        <f>'TCO B — сервисы (SOA)'!E64</f>
        <v>ПРЕВЫШЕНИЕ бюджета</v>
      </c>
      <c r="E10" t="str">
        <f>'TCO C — микросервисы CTO'!E64</f>
        <v>ПРЕВЫШЕНИЕ бюджета</v>
      </c>
      <c r="F10"/>
    </row>
    <row r="11" spans="2:6" x14ac:dyDescent="0.25">
      <c r="B11" t="s">
        <v>284</v>
      </c>
      <c r="C11" s="44">
        <f>'TCO A — модульный монолит'!E70</f>
        <v>0.16271553435157954</v>
      </c>
      <c r="D11" s="44">
        <f>'TCO B — сервисы (SOA)'!E70</f>
        <v>0.18347408194857504</v>
      </c>
      <c r="E11" s="44">
        <f>'TCO C — микросервисы CTO'!E70</f>
        <v>0.21408839963823878</v>
      </c>
      <c r="F11" t="s">
        <v>285</v>
      </c>
    </row>
    <row r="12" spans="2:6" x14ac:dyDescent="0.25">
      <c r="B12" t="s">
        <v>207</v>
      </c>
      <c r="C12" s="45">
        <f>'TCO A — модульный монолит'!E65</f>
        <v>0.93303209119904462</v>
      </c>
      <c r="D12" s="45">
        <f>'TCO B — сервисы (SOA)'!E65</f>
        <v>0.97898813356608283</v>
      </c>
      <c r="E12" s="45">
        <f>'TCO C — микросервисы CTO'!E65</f>
        <v>1.1383408315947452</v>
      </c>
      <c r="F12" t="s">
        <v>286</v>
      </c>
    </row>
    <row r="13" spans="2:6" x14ac:dyDescent="0.25">
      <c r="B13" t="s">
        <v>211</v>
      </c>
      <c r="C13" s="46">
        <f>'TCO A — модульный монолит'!E67</f>
        <v>3.7311777462620987E-2</v>
      </c>
      <c r="D13" s="46">
        <f>'TCO B — сервисы (SOA)'!E67</f>
        <v>3.9149550934761849E-2</v>
      </c>
      <c r="E13" s="46">
        <f>'TCO C — микросервисы CTO'!E67</f>
        <v>4.5522035293014518E-2</v>
      </c>
      <c r="F13"/>
    </row>
    <row r="15" spans="2:6" x14ac:dyDescent="0.25">
      <c r="B15" s="34" t="s">
        <v>287</v>
      </c>
    </row>
    <row r="16" spans="2:6" x14ac:dyDescent="0.25">
      <c r="B16" s="33" t="s">
        <v>268</v>
      </c>
      <c r="C16" s="33" t="s">
        <v>288</v>
      </c>
      <c r="D16" s="33" t="s">
        <v>289</v>
      </c>
      <c r="E16" s="33" t="s">
        <v>290</v>
      </c>
      <c r="F16" s="33" t="s">
        <v>272</v>
      </c>
    </row>
    <row r="17" spans="2:6" x14ac:dyDescent="0.25">
      <c r="B17" t="s">
        <v>291</v>
      </c>
      <c r="C17" s="37">
        <v>3688</v>
      </c>
      <c r="D17" s="37">
        <v>7231</v>
      </c>
      <c r="E17" s="37">
        <v>32883</v>
      </c>
      <c r="F17" t="s">
        <v>292</v>
      </c>
    </row>
    <row r="18" spans="2:6" x14ac:dyDescent="0.25">
      <c r="B18" t="s">
        <v>293</v>
      </c>
      <c r="C18" s="37">
        <v>71250</v>
      </c>
      <c r="D18" s="37">
        <v>95416.67</v>
      </c>
      <c r="E18" s="37">
        <v>171666.67</v>
      </c>
      <c r="F18" t="s">
        <v>294</v>
      </c>
    </row>
    <row r="19" spans="2:6" x14ac:dyDescent="0.25">
      <c r="B19" t="s">
        <v>295</v>
      </c>
      <c r="C19" s="45">
        <v>3</v>
      </c>
      <c r="D19" s="45">
        <v>4.1100000000000003</v>
      </c>
      <c r="E19" s="45">
        <v>8.18</v>
      </c>
      <c r="F19" t="s">
        <v>296</v>
      </c>
    </row>
    <row r="20" spans="2:6" x14ac:dyDescent="0.25">
      <c r="B20" t="s">
        <v>297</v>
      </c>
      <c r="C20" s="45">
        <v>3.58</v>
      </c>
      <c r="D20" s="45">
        <v>4.6900000000000004</v>
      </c>
      <c r="E20" s="45">
        <v>8.77</v>
      </c>
      <c r="F20" t="s">
        <v>298</v>
      </c>
    </row>
    <row r="21" spans="2:6" x14ac:dyDescent="0.25">
      <c r="B21" t="s">
        <v>299</v>
      </c>
      <c r="C21" s="37">
        <v>11385</v>
      </c>
      <c r="D21" s="37">
        <v>18969</v>
      </c>
      <c r="E21" s="37">
        <v>68409</v>
      </c>
      <c r="F21" t="s">
        <v>300</v>
      </c>
    </row>
    <row r="22" spans="2:6" x14ac:dyDescent="0.25">
      <c r="B22" t="s">
        <v>301</v>
      </c>
      <c r="C22" s="37">
        <v>120958.33</v>
      </c>
      <c r="D22" s="37">
        <v>155166.67000000001</v>
      </c>
      <c r="E22" s="37">
        <v>230666.67</v>
      </c>
      <c r="F22" t="s">
        <v>302</v>
      </c>
    </row>
    <row r="23" spans="2:6" x14ac:dyDescent="0.25">
      <c r="B23" t="s">
        <v>303</v>
      </c>
      <c r="C23" s="45">
        <v>0.53</v>
      </c>
      <c r="D23" s="45">
        <v>0.7</v>
      </c>
      <c r="E23" s="45">
        <v>1.2</v>
      </c>
      <c r="F23" t="s">
        <v>304</v>
      </c>
    </row>
    <row r="24" spans="2:6" x14ac:dyDescent="0.25">
      <c r="B24" t="s">
        <v>305</v>
      </c>
      <c r="C24" s="45">
        <v>1.1100000000000001</v>
      </c>
      <c r="D24" s="45">
        <v>1.28</v>
      </c>
      <c r="E24" s="45">
        <v>1.78</v>
      </c>
      <c r="F24" t="s">
        <v>306</v>
      </c>
    </row>
    <row r="25" spans="2:6" x14ac:dyDescent="0.25">
      <c r="B25" t="s">
        <v>307</v>
      </c>
      <c r="C25" s="47">
        <v>0.58399999999999996</v>
      </c>
      <c r="D25" s="47">
        <v>0.58399999999999996</v>
      </c>
      <c r="E25" s="47">
        <v>0.58399999999999996</v>
      </c>
      <c r="F25" t="s">
        <v>308</v>
      </c>
    </row>
    <row r="27" spans="2:6" x14ac:dyDescent="0.25">
      <c r="B27" s="34" t="s">
        <v>309</v>
      </c>
    </row>
    <row r="28" spans="2:6" x14ac:dyDescent="0.25">
      <c r="B28" t="s">
        <v>310</v>
      </c>
      <c r="C28" s="37">
        <v>87118859</v>
      </c>
      <c r="D28" s="37">
        <v>87572808</v>
      </c>
      <c r="E28" s="37">
        <v>92513355</v>
      </c>
      <c r="F28" t="s">
        <v>311</v>
      </c>
    </row>
    <row r="29" spans="2:6" x14ac:dyDescent="0.25">
      <c r="B29" t="s">
        <v>312</v>
      </c>
      <c r="E29" s="37">
        <v>18037</v>
      </c>
      <c r="F29" t="s">
        <v>313</v>
      </c>
    </row>
    <row r="30" spans="2:6" x14ac:dyDescent="0.25">
      <c r="B30" t="s">
        <v>314</v>
      </c>
      <c r="D30" s="37">
        <v>13727</v>
      </c>
    </row>
    <row r="31" spans="2:6" x14ac:dyDescent="0.25">
      <c r="B31" t="s">
        <v>315</v>
      </c>
      <c r="C31" s="37">
        <v>404500</v>
      </c>
      <c r="F31" t="s">
        <v>316</v>
      </c>
    </row>
    <row r="32" spans="2:6" x14ac:dyDescent="0.25">
      <c r="B32" t="s">
        <v>317</v>
      </c>
      <c r="C32" s="37">
        <v>1924</v>
      </c>
      <c r="F32" t="s">
        <v>318</v>
      </c>
    </row>
    <row r="34" spans="2:6" x14ac:dyDescent="0.25">
      <c r="B34" s="34" t="s">
        <v>319</v>
      </c>
    </row>
    <row r="35" spans="2:6" x14ac:dyDescent="0.25">
      <c r="B35" t="s">
        <v>320</v>
      </c>
      <c r="C35" s="37">
        <v>13597582</v>
      </c>
      <c r="D35" s="37">
        <v>16734581</v>
      </c>
      <c r="E35" s="37">
        <v>27612135</v>
      </c>
      <c r="F35" t="s">
        <v>321</v>
      </c>
    </row>
    <row r="36" spans="2:6" x14ac:dyDescent="0.25">
      <c r="B36" t="s">
        <v>322</v>
      </c>
      <c r="C36" s="37">
        <v>22754364</v>
      </c>
      <c r="D36" s="37">
        <v>31043653</v>
      </c>
      <c r="E36" s="37">
        <v>35112962</v>
      </c>
      <c r="F36" t="s">
        <v>323</v>
      </c>
    </row>
    <row r="37" spans="2:6" x14ac:dyDescent="0.25">
      <c r="B37" t="s">
        <v>324</v>
      </c>
      <c r="C37" s="37">
        <v>13845597</v>
      </c>
      <c r="D37" s="37">
        <v>17067601</v>
      </c>
      <c r="E37" s="37">
        <v>28839435</v>
      </c>
      <c r="F37" t="s">
        <v>325</v>
      </c>
    </row>
    <row r="38" spans="2:6" x14ac:dyDescent="0.25">
      <c r="B38" t="s">
        <v>326</v>
      </c>
      <c r="C38" s="37">
        <v>17172915</v>
      </c>
      <c r="D38" s="37">
        <v>20964608</v>
      </c>
      <c r="E38" s="37">
        <v>33351401</v>
      </c>
      <c r="F38" t="s">
        <v>327</v>
      </c>
    </row>
    <row r="39" spans="2:6" x14ac:dyDescent="0.25">
      <c r="B39" t="s">
        <v>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20"/>
  <sheetViews>
    <sheetView workbookViewId="0"/>
  </sheetViews>
  <sheetFormatPr defaultRowHeight="15" x14ac:dyDescent="0.25"/>
  <cols>
    <col min="2" max="2" width="70" style="32" customWidth="1"/>
    <col min="3" max="5" width="20" style="32" customWidth="1"/>
    <col min="6" max="6" width="60" style="32" customWidth="1"/>
  </cols>
  <sheetData>
    <row r="2" spans="2:6" x14ac:dyDescent="0.25">
      <c r="B2" s="34" t="s">
        <v>329</v>
      </c>
    </row>
    <row r="4" spans="2:6" x14ac:dyDescent="0.25">
      <c r="B4" s="34" t="s">
        <v>330</v>
      </c>
    </row>
    <row r="5" spans="2:6" x14ac:dyDescent="0.25">
      <c r="B5" s="33" t="s">
        <v>331</v>
      </c>
      <c r="C5" s="33" t="s">
        <v>332</v>
      </c>
      <c r="D5" s="33" t="s">
        <v>333</v>
      </c>
      <c r="E5" s="33" t="s">
        <v>334</v>
      </c>
      <c r="F5" s="33" t="s">
        <v>272</v>
      </c>
    </row>
    <row r="6" spans="2:6" x14ac:dyDescent="0.25">
      <c r="B6" t="s">
        <v>335</v>
      </c>
      <c r="C6" s="37">
        <v>26400</v>
      </c>
      <c r="D6" s="37">
        <v>53688</v>
      </c>
      <c r="E6" s="37">
        <v>206360</v>
      </c>
      <c r="F6" t="s">
        <v>336</v>
      </c>
    </row>
    <row r="7" spans="2:6" x14ac:dyDescent="0.25">
      <c r="B7" t="s">
        <v>337</v>
      </c>
      <c r="C7" s="37">
        <v>7200</v>
      </c>
      <c r="D7" s="37">
        <v>12600</v>
      </c>
      <c r="E7" s="37">
        <v>99800</v>
      </c>
      <c r="F7"/>
    </row>
    <row r="8" spans="2:6" x14ac:dyDescent="0.25">
      <c r="B8" t="s">
        <v>338</v>
      </c>
      <c r="C8" s="37">
        <v>855000</v>
      </c>
      <c r="D8" s="37">
        <v>1098000</v>
      </c>
      <c r="E8" s="37">
        <v>1665000</v>
      </c>
      <c r="F8" t="s">
        <v>339</v>
      </c>
    </row>
    <row r="9" spans="2:6" x14ac:dyDescent="0.25">
      <c r="B9" t="s">
        <v>340</v>
      </c>
      <c r="C9" s="37">
        <v>70000</v>
      </c>
      <c r="D9" s="37">
        <v>95000</v>
      </c>
      <c r="E9" s="37">
        <v>620000</v>
      </c>
      <c r="F9" t="s">
        <v>341</v>
      </c>
    </row>
    <row r="10" spans="2:6" x14ac:dyDescent="0.25">
      <c r="B10" s="33" t="s">
        <v>342</v>
      </c>
      <c r="C10" s="37">
        <f>SUM(C6:C9)</f>
        <v>958600</v>
      </c>
      <c r="D10" s="37">
        <f>SUM(D6:D9)</f>
        <v>1259288</v>
      </c>
      <c r="E10" s="37">
        <f>SUM(E6:E9)</f>
        <v>2591160</v>
      </c>
    </row>
    <row r="11" spans="2:6" x14ac:dyDescent="0.25">
      <c r="B11" s="33" t="s">
        <v>343</v>
      </c>
      <c r="D11" s="37">
        <f>D10-C10</f>
        <v>300688</v>
      </c>
      <c r="E11" s="37">
        <f>E10-C10</f>
        <v>1632560</v>
      </c>
    </row>
    <row r="13" spans="2:6" x14ac:dyDescent="0.25">
      <c r="B13" s="34" t="s">
        <v>344</v>
      </c>
    </row>
    <row r="14" spans="2:6" x14ac:dyDescent="0.25">
      <c r="B14" t="s">
        <v>345</v>
      </c>
      <c r="C14" s="37">
        <v>106250</v>
      </c>
      <c r="F14" t="s">
        <v>346</v>
      </c>
    </row>
    <row r="15" spans="2:6" x14ac:dyDescent="0.25">
      <c r="B15" t="s">
        <v>347</v>
      </c>
      <c r="C15" s="37">
        <v>50000</v>
      </c>
      <c r="F15"/>
    </row>
    <row r="16" spans="2:6" x14ac:dyDescent="0.25">
      <c r="B16" t="s">
        <v>348</v>
      </c>
      <c r="C16" s="37">
        <v>30000</v>
      </c>
      <c r="F16"/>
    </row>
    <row r="17" spans="2:6" x14ac:dyDescent="0.25">
      <c r="B17" t="s">
        <v>349</v>
      </c>
      <c r="C17" s="37">
        <v>445500</v>
      </c>
      <c r="F17" t="s">
        <v>350</v>
      </c>
    </row>
    <row r="18" spans="2:6" x14ac:dyDescent="0.25">
      <c r="B18" s="33" t="s">
        <v>351</v>
      </c>
      <c r="C18" s="37">
        <f>SUM(C14:C17)</f>
        <v>631750</v>
      </c>
    </row>
    <row r="20" spans="2:6" x14ac:dyDescent="0.25">
      <c r="B20" t="s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Инструкция</vt:lpstr>
      <vt:lpstr>Допущения</vt:lpstr>
      <vt:lpstr>TCO A — модульный монолит</vt:lpstr>
      <vt:lpstr>TCO B — сервисы (SOA)</vt:lpstr>
      <vt:lpstr>TCO C — микросервисы CTO</vt:lpstr>
      <vt:lpstr>Сравнение</vt:lpstr>
      <vt:lpstr>Стоимость ошибки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Акользин</cp:lastModifiedBy>
  <dcterms:created xsi:type="dcterms:W3CDTF">2026-08-24T07:50:39Z</dcterms:created>
  <dcterms:modified xsi:type="dcterms:W3CDTF">2026-10-04T20:48:45Z</dcterms:modified>
</cp:coreProperties>
</file>